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 GitHub\High-throughput-postharvest-phenotyping-of-green-onion-germplasm-quality\"/>
    </mc:Choice>
  </mc:AlternateContent>
  <xr:revisionPtr revIDLastSave="0" documentId="13_ncr:1_{8F214B42-B9BE-42E8-B728-D65A6E552AFF}" xr6:coauthVersionLast="47" xr6:coauthVersionMax="47" xr10:uidLastSave="{00000000-0000-0000-0000-000000000000}"/>
  <bookViews>
    <workbookView xWindow="-23148" yWindow="-10824" windowWidth="23256" windowHeight="14616" xr2:uid="{58E4ED7A-461B-4BB8-A171-54F5813C9A49}"/>
  </bookViews>
  <sheets>
    <sheet name="A_fistulosum" sheetId="2" r:id="rId1"/>
    <sheet name="Metaboanalalyst" sheetId="1" r:id="rId2"/>
    <sheet name="Hybrid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3" l="1"/>
  <c r="I16" i="3"/>
  <c r="H16" i="3"/>
  <c r="G16" i="3"/>
  <c r="J15" i="3"/>
  <c r="I15" i="3"/>
  <c r="H15" i="3"/>
  <c r="G15" i="3"/>
  <c r="J14" i="3"/>
  <c r="I14" i="3"/>
  <c r="H14" i="3"/>
  <c r="G14" i="3"/>
  <c r="H13" i="3"/>
  <c r="G13" i="3"/>
  <c r="H12" i="3"/>
  <c r="G12" i="3"/>
  <c r="I11" i="3"/>
  <c r="H11" i="3"/>
  <c r="G11" i="3"/>
  <c r="I9" i="3"/>
  <c r="H9" i="3"/>
  <c r="G9" i="3"/>
  <c r="I8" i="3"/>
  <c r="H8" i="3"/>
  <c r="G8" i="3"/>
  <c r="H7" i="3"/>
  <c r="G7" i="3"/>
  <c r="J6" i="3"/>
  <c r="H6" i="3"/>
  <c r="G6" i="3"/>
  <c r="H5" i="3"/>
  <c r="G5" i="3"/>
  <c r="J4" i="3"/>
  <c r="I4" i="3"/>
  <c r="H4" i="3"/>
  <c r="G4" i="3"/>
  <c r="I15" i="2"/>
  <c r="H15" i="2"/>
  <c r="G15" i="2"/>
  <c r="H14" i="2"/>
  <c r="G14" i="2"/>
  <c r="J13" i="2"/>
  <c r="I13" i="2"/>
  <c r="H13" i="2"/>
  <c r="G13" i="2"/>
  <c r="J12" i="2"/>
  <c r="I12" i="2"/>
  <c r="H12" i="2"/>
  <c r="G12" i="2"/>
  <c r="H11" i="2"/>
  <c r="G11" i="2"/>
  <c r="H10" i="2"/>
  <c r="G10" i="2"/>
  <c r="H8" i="2"/>
  <c r="G8" i="2"/>
  <c r="H7" i="2"/>
  <c r="G7" i="2"/>
  <c r="H6" i="2"/>
  <c r="G6" i="2"/>
  <c r="J5" i="2"/>
  <c r="I5" i="2"/>
  <c r="H5" i="2"/>
  <c r="G5" i="2"/>
  <c r="J4" i="2"/>
  <c r="I4" i="2"/>
  <c r="H4" i="2"/>
  <c r="G4" i="2"/>
</calcChain>
</file>

<file path=xl/sharedStrings.xml><?xml version="1.0" encoding="utf-8"?>
<sst xmlns="http://schemas.openxmlformats.org/spreadsheetml/2006/main" count="355" uniqueCount="101">
  <si>
    <t>Name</t>
  </si>
  <si>
    <t>ANTSRO030_2DAH</t>
  </si>
  <si>
    <t>ANTSNC003_2DAH</t>
  </si>
  <si>
    <t>91400071_2DAH</t>
  </si>
  <si>
    <t>91400035_2DAH</t>
  </si>
  <si>
    <t>NDSCAR038_2DAH</t>
  </si>
  <si>
    <t>ANTSRO029_2DAH</t>
  </si>
  <si>
    <t>91400028_2DAH</t>
  </si>
  <si>
    <t>ANTSON013_2DAH</t>
  </si>
  <si>
    <t>91400070_2DAH</t>
  </si>
  <si>
    <t>CUNSBR048_2DAH</t>
  </si>
  <si>
    <t>ANTSRO030_4DAH</t>
  </si>
  <si>
    <t>ANTSNC003_4DAH</t>
  </si>
  <si>
    <t>91400071_4DAH</t>
  </si>
  <si>
    <t>91400035_4DAH</t>
  </si>
  <si>
    <t>NDSCAR038_4DAH</t>
  </si>
  <si>
    <t>ANTSRO029_4DAH</t>
  </si>
  <si>
    <t>91400028_4DAH</t>
  </si>
  <si>
    <t>ANTSON013_4DAH</t>
  </si>
  <si>
    <t>91400070_4DAH</t>
  </si>
  <si>
    <t>CUNSBR048_4DAH</t>
  </si>
  <si>
    <t>Group</t>
  </si>
  <si>
    <t>A_fistulosum_2DAH</t>
  </si>
  <si>
    <t>Hibrid_2DAH</t>
  </si>
  <si>
    <t>A_fistulosum_14DAH</t>
  </si>
  <si>
    <t>Hibrid_14DAH</t>
  </si>
  <si>
    <t>(+)-Taxifolin</t>
  </si>
  <si>
    <t>Vanillic acid</t>
  </si>
  <si>
    <t>Ferulic acid</t>
  </si>
  <si>
    <t>Kaempferol</t>
  </si>
  <si>
    <t>Quercetin</t>
  </si>
  <si>
    <t>4-Hydroxybenzoic acid</t>
  </si>
  <si>
    <t>Phloridzin</t>
  </si>
  <si>
    <t>(+/-)-Naringenin</t>
  </si>
  <si>
    <t>3;5-DHB acid</t>
  </si>
  <si>
    <t>Caffeic acid</t>
  </si>
  <si>
    <t>Morin</t>
  </si>
  <si>
    <t>Phloretin</t>
  </si>
  <si>
    <t>p-Coumaric</t>
  </si>
  <si>
    <t>Catechol</t>
  </si>
  <si>
    <t>Polydatin</t>
  </si>
  <si>
    <t>Sinapic acid</t>
  </si>
  <si>
    <t>Luteolin</t>
  </si>
  <si>
    <t>2;3;4-THB acid</t>
  </si>
  <si>
    <t>Acetylphloroglucinol</t>
  </si>
  <si>
    <t>Apigenin</t>
  </si>
  <si>
    <t>Chlorogenic acid</t>
  </si>
  <si>
    <t>4-Acetocatechol</t>
  </si>
  <si>
    <t>Gallic acid</t>
  </si>
  <si>
    <t>(+)-Catechin (Hydrate)</t>
  </si>
  <si>
    <t>Syringic acid</t>
  </si>
  <si>
    <t>Isoliquiritigenin</t>
  </si>
  <si>
    <t>(Isomer 2,3-/2,4-/2,6-)DHB acid</t>
  </si>
  <si>
    <t>Diosmetin</t>
  </si>
  <si>
    <t>Salicylic acid</t>
  </si>
  <si>
    <t>Myricetin</t>
  </si>
  <si>
    <t>Rosmarinic acid</t>
  </si>
  <si>
    <t>A. fistulosum 2DAH vs. A. fistulosum 14DAH</t>
  </si>
  <si>
    <t>Compound name</t>
  </si>
  <si>
    <t>Molecular formula</t>
  </si>
  <si>
    <t>RT (min)</t>
  </si>
  <si>
    <t>Transition (m/z)</t>
  </si>
  <si>
    <t>Fragmentor</t>
  </si>
  <si>
    <t>CE (V)</t>
  </si>
  <si>
    <r>
      <t>CV for QC</t>
    </r>
    <r>
      <rPr>
        <b/>
        <vertAlign val="superscript"/>
        <sz val="11"/>
        <color theme="1"/>
        <rFont val="Times New Roman"/>
        <family val="1"/>
      </rPr>
      <t>a</t>
    </r>
    <r>
      <rPr>
        <b/>
        <sz val="11"/>
        <color theme="1"/>
        <rFont val="Times New Roman"/>
        <family val="1"/>
      </rPr>
      <t xml:space="preserve"> (%)</t>
    </r>
  </si>
  <si>
    <r>
      <t>Fold Change</t>
    </r>
    <r>
      <rPr>
        <b/>
        <vertAlign val="superscript"/>
        <sz val="11"/>
        <color theme="1"/>
        <rFont val="Times New Roman"/>
        <family val="1"/>
      </rPr>
      <t>b</t>
    </r>
  </si>
  <si>
    <r>
      <t>VIP</t>
    </r>
    <r>
      <rPr>
        <b/>
        <vertAlign val="superscript"/>
        <sz val="11"/>
        <color theme="1"/>
        <rFont val="Times New Roman"/>
        <family val="1"/>
      </rPr>
      <t>c</t>
    </r>
  </si>
  <si>
    <r>
      <t>adj. p-value</t>
    </r>
    <r>
      <rPr>
        <b/>
        <vertAlign val="superscript"/>
        <sz val="11"/>
        <color theme="1"/>
        <rFont val="Times New Roman"/>
        <family val="1"/>
      </rPr>
      <t>d</t>
    </r>
  </si>
  <si>
    <t>Flavonoids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</si>
  <si>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</si>
  <si>
    <t>284.9 -&gt; 133.0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</si>
  <si>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</si>
  <si>
    <t>273.0 -&gt; 167.1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</si>
  <si>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</si>
  <si>
    <t>301.0-&gt;121.1</t>
  </si>
  <si>
    <t>&lt;1.0</t>
  </si>
  <si>
    <t>---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</si>
  <si>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</si>
  <si>
    <t>300.9-&gt;121.0</t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</si>
  <si>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</si>
  <si>
    <t>435.0 -&gt; 273.0</t>
  </si>
  <si>
    <t>Phenolic acids and alcohols</t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</si>
  <si>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</si>
  <si>
    <t>389.0 -&gt; 227.0</t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</si>
  <si>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</si>
  <si>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>179.0 -&gt; 135.0</t>
  </si>
  <si>
    <r>
      <t>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</si>
  <si>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151.0 -&gt; 108.0</t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</si>
  <si>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</si>
  <si>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163.0 -&gt; 119.0</t>
  </si>
  <si>
    <r>
      <t>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</si>
  <si>
    <t>137.0 -&gt; 93.0</t>
  </si>
  <si>
    <r>
      <t>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</si>
  <si>
    <t>152.9 -&gt; 108.9</t>
  </si>
  <si>
    <t>CV, coefficient of variation in the metabolites in the QC samples; Fold Change, change in the abundance of the specified comparison calculated as (A fistulosum 2DAH/A. fistulosum 14DAH); RT: retention time; adjusted p-value calculated by the Benjamini-Hochberg false discovery rate correction (RAW&lt; 0.05); VIP: Variable Importance in Projection.</t>
  </si>
  <si>
    <t>Hibrido 2DAH vs. Hibrido 14DAH</t>
  </si>
  <si>
    <t>284.9 -&gt; 93.1</t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</si>
  <si>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7</t>
    </r>
  </si>
  <si>
    <t>303.0 -&gt; 285.0</t>
  </si>
  <si>
    <t>153.0 -&gt; 109.0</t>
  </si>
  <si>
    <t>CV, coefficient of variation in the metabolites in the QC samples; Fold Change, change in the abundance of the specified comparison calculated as (Hybrid 2DAH/Hybrid 14DAH); RT: retention time; adjusted p-value calculated by the Benjamini-Hochberg false discovery rate correction (RAW&lt; 0.05); VIP: Variable Importance in Projection.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</si>
</sst>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E+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6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quotePrefix="1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6" fontId="1" fillId="0" borderId="0" xfId="0" quotePrefix="1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17">
    <dxf>
      <font>
        <color rgb="FF9C0006"/>
      </font>
    </dxf>
    <dxf>
      <font>
        <strike val="0"/>
        <color rgb="FF00B050"/>
      </font>
    </dxf>
    <dxf>
      <font>
        <strike val="0"/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strike val="0"/>
        <color rgb="FF00B050"/>
      </font>
    </dxf>
    <dxf>
      <font>
        <strike val="0"/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A%20NACHO/MASTER/ANOTACIONESCOMPLETO.xlsx" TargetMode="External"/><Relationship Id="rId2" Type="http://schemas.openxmlformats.org/officeDocument/2006/relationships/externalLinkPath" Target="file:///D:\LA%20NACHO\MASTER\ANOTACIONESCOMPLETO.xlsx" TargetMode="External"/><Relationship Id="rId1" Type="http://schemas.openxmlformats.org/officeDocument/2006/relationships/externalLinkPath" Target="/LA%20NACHO/MASTER/ANOTACIONES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ERRF_byGroups"/>
      <sheetName val="SERRF_AT"/>
      <sheetName val="SERRF_ATNormalizada"/>
      <sheetName val="SERRF_CVQC_ATNormalizada"/>
      <sheetName val="SERRF_CVQC_DEPURADA"/>
      <sheetName val="FILTRO DE PRESENCIA"/>
      <sheetName val="DEPURADO_FILTRO PRESENCIA"/>
      <sheetName val="METABOANALYST"/>
      <sheetName val="METABOANALYST ISOMEROS"/>
      <sheetName val="fold_change"/>
      <sheetName val="t_test"/>
      <sheetName val="plsda_vip"/>
      <sheetName val="A fistulosum"/>
      <sheetName val="Tiempos A fistulosum"/>
      <sheetName val="Hibrido"/>
      <sheetName val="fold_change hibrido"/>
      <sheetName val="plsda_vip hibrido"/>
      <sheetName val="t_test hibrido"/>
      <sheetName val="Tiempos Hibrido"/>
      <sheetName val="Tiempos A fistulosum DEPURADO"/>
      <sheetName val="Tiempos Hibrido DEPURADO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Grupo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>
            <v>0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>
            <v>0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>
            <v>0</v>
          </cell>
          <cell r="BW1">
            <v>0</v>
          </cell>
          <cell r="BX1">
            <v>0</v>
          </cell>
          <cell r="BY1">
            <v>0</v>
          </cell>
          <cell r="BZ1">
            <v>0</v>
          </cell>
          <cell r="CA1">
            <v>0</v>
          </cell>
          <cell r="CB1">
            <v>0</v>
          </cell>
          <cell r="CC1">
            <v>0</v>
          </cell>
          <cell r="CD1">
            <v>0</v>
          </cell>
          <cell r="CE1">
            <v>0</v>
          </cell>
          <cell r="CF1">
            <v>0</v>
          </cell>
          <cell r="CG1">
            <v>0</v>
          </cell>
          <cell r="CH1">
            <v>0</v>
          </cell>
          <cell r="CI1">
            <v>0</v>
          </cell>
          <cell r="CJ1">
            <v>0</v>
          </cell>
          <cell r="CK1">
            <v>0</v>
          </cell>
          <cell r="CL1">
            <v>0</v>
          </cell>
          <cell r="CM1">
            <v>0</v>
          </cell>
          <cell r="CN1">
            <v>0</v>
          </cell>
          <cell r="CO1">
            <v>0</v>
          </cell>
          <cell r="CP1">
            <v>0</v>
          </cell>
          <cell r="CQ1">
            <v>0</v>
          </cell>
          <cell r="CR1">
            <v>0</v>
          </cell>
          <cell r="CS1">
            <v>0</v>
          </cell>
          <cell r="CT1">
            <v>0</v>
          </cell>
          <cell r="CU1">
            <v>0</v>
          </cell>
          <cell r="CV1">
            <v>0</v>
          </cell>
          <cell r="CW1">
            <v>0</v>
          </cell>
          <cell r="CX1" t="str">
            <v>QC</v>
          </cell>
          <cell r="CY1" t="str">
            <v>QC</v>
          </cell>
          <cell r="CZ1" t="str">
            <v>QC</v>
          </cell>
          <cell r="DA1" t="str">
            <v>QC</v>
          </cell>
          <cell r="DB1" t="str">
            <v>QC</v>
          </cell>
          <cell r="DC1" t="str">
            <v>QC</v>
          </cell>
          <cell r="DD1" t="str">
            <v>QC</v>
          </cell>
          <cell r="DE1" t="str">
            <v>QC</v>
          </cell>
          <cell r="DF1" t="str">
            <v>QC</v>
          </cell>
        </row>
        <row r="2">
          <cell r="A2" t="str">
            <v>(+)-Taxifolin</v>
          </cell>
          <cell r="B2">
            <v>7.9890046114962955E-3</v>
          </cell>
          <cell r="C2">
            <v>3.0922316908523484E-2</v>
          </cell>
          <cell r="D2">
            <v>1.1246007247769408E-2</v>
          </cell>
          <cell r="E2">
            <v>1.3444730588541551E-2</v>
          </cell>
          <cell r="F2">
            <v>1.0848588957800602E-2</v>
          </cell>
          <cell r="G2">
            <v>1.602465744497486E-2</v>
          </cell>
          <cell r="H2">
            <v>1.7871134091674217E-2</v>
          </cell>
          <cell r="I2">
            <v>1.8278574447254795E-2</v>
          </cell>
          <cell r="J2">
            <v>3.4120413796051637E-2</v>
          </cell>
          <cell r="K2">
            <v>5.4245336484343987E-2</v>
          </cell>
          <cell r="L2">
            <v>6.1348290633506655E-3</v>
          </cell>
          <cell r="M2">
            <v>1.9494109833899469E-2</v>
          </cell>
          <cell r="N2">
            <v>3.2338845796388765E-2</v>
          </cell>
          <cell r="O2">
            <v>1.0254399442491404E-2</v>
          </cell>
          <cell r="P2">
            <v>1.33173494461181E-2</v>
          </cell>
          <cell r="Q2">
            <v>4.736733325944803E-2</v>
          </cell>
          <cell r="R2">
            <v>3.2508356307873201E-2</v>
          </cell>
          <cell r="S2">
            <v>6.6699346486172317E-2</v>
          </cell>
          <cell r="T2">
            <v>9.0009152678283744E-2</v>
          </cell>
          <cell r="U2">
            <v>9.1109144786169272E-2</v>
          </cell>
          <cell r="V2">
            <v>1.4197113506949096E-2</v>
          </cell>
          <cell r="W2">
            <v>1.8332188307951372E-2</v>
          </cell>
          <cell r="X2">
            <v>0.16750035422484744</v>
          </cell>
          <cell r="Y2">
            <v>6.5414130612401492E-2</v>
          </cell>
          <cell r="Z2">
            <v>0.16354728754692985</v>
          </cell>
          <cell r="AA2">
            <v>1.149476385776871E-2</v>
          </cell>
          <cell r="AB2">
            <v>9.3540610601220257E-3</v>
          </cell>
          <cell r="AC2">
            <v>1.3028721322037452E-2</v>
          </cell>
          <cell r="AD2">
            <v>2.7084621862014668E-2</v>
          </cell>
          <cell r="AE2">
            <v>0.12697276472334548</v>
          </cell>
          <cell r="AF2">
            <v>0.60944855379768814</v>
          </cell>
          <cell r="AG2">
            <v>0.57224787195432858</v>
          </cell>
          <cell r="AH2">
            <v>0.73423233175186786</v>
          </cell>
          <cell r="AI2">
            <v>0.70364778410798079</v>
          </cell>
          <cell r="AJ2">
            <v>0.71845055920364775</v>
          </cell>
          <cell r="AK2">
            <v>0.40981619371137917</v>
          </cell>
          <cell r="AL2">
            <v>0.18896632324009652</v>
          </cell>
          <cell r="AM2">
            <v>0.40300339032895299</v>
          </cell>
          <cell r="AN2">
            <v>0.46679410380084846</v>
          </cell>
          <cell r="AO2">
            <v>0.48071756967756096</v>
          </cell>
          <cell r="AP2">
            <v>0.71326330444851893</v>
          </cell>
          <cell r="AQ2">
            <v>0.69435983342992125</v>
          </cell>
          <cell r="AR2">
            <v>0.7146055915217141</v>
          </cell>
          <cell r="AS2">
            <v>0.71818692142253637</v>
          </cell>
          <cell r="AT2">
            <v>0.66094477855902189</v>
          </cell>
          <cell r="AU2">
            <v>0.67986692127633364</v>
          </cell>
          <cell r="AV2">
            <v>0.66008619327731299</v>
          </cell>
          <cell r="AW2">
            <v>0.61230465386936572</v>
          </cell>
          <cell r="AX2">
            <v>0.72792302884109872</v>
          </cell>
          <cell r="AY2">
            <v>0.74180552593635241</v>
          </cell>
          <cell r="AZ2">
            <v>4.2315696166583634E-3</v>
          </cell>
          <cell r="BA2">
            <v>9.2787812085413559E-3</v>
          </cell>
          <cell r="BB2">
            <v>7.9123811830031487E-3</v>
          </cell>
          <cell r="BC2">
            <v>1.3504463679354104E-2</v>
          </cell>
          <cell r="BD2">
            <v>9.0470677548295814E-3</v>
          </cell>
          <cell r="BE2">
            <v>5.3513602574692259E-2</v>
          </cell>
          <cell r="BF2">
            <v>5.7917127736695814E-2</v>
          </cell>
          <cell r="BG2">
            <v>2.5773569718102501E-2</v>
          </cell>
          <cell r="BH2">
            <v>1.4516533343062752E-2</v>
          </cell>
          <cell r="BI2">
            <v>8.5673346556245644E-2</v>
          </cell>
          <cell r="BJ2">
            <v>5.9251453534545424E-2</v>
          </cell>
          <cell r="BK2">
            <v>3.3263389507210424E-2</v>
          </cell>
          <cell r="BL2">
            <v>1.6258668124543896E-2</v>
          </cell>
          <cell r="BM2">
            <v>4.6707101646196313E-2</v>
          </cell>
          <cell r="BN2">
            <v>2.4162745619048274E-2</v>
          </cell>
          <cell r="BO2">
            <v>2.8833630426957274E-2</v>
          </cell>
          <cell r="BP2">
            <v>6.2513294611981518E-2</v>
          </cell>
          <cell r="BQ2">
            <v>5.8089575647423543E-2</v>
          </cell>
          <cell r="BR2">
            <v>5.6019342966607905E-2</v>
          </cell>
          <cell r="BS2">
            <v>6.190403377568357E-2</v>
          </cell>
          <cell r="BT2">
            <v>2.3076015042800331E-2</v>
          </cell>
          <cell r="BU2">
            <v>7.8650036008108826E-2</v>
          </cell>
          <cell r="BV2">
            <v>2.6791265021548664E-2</v>
          </cell>
          <cell r="BW2">
            <v>2.7529530593737864E-2</v>
          </cell>
          <cell r="BX2">
            <v>4.4153268241877208E-2</v>
          </cell>
          <cell r="BY2">
            <v>8.4291082233742317E-3</v>
          </cell>
          <cell r="BZ2">
            <v>5.4341716968395242E-3</v>
          </cell>
          <cell r="CA2">
            <v>6.1122256497737996E-3</v>
          </cell>
          <cell r="CB2">
            <v>2.398057337820711E-2</v>
          </cell>
          <cell r="CC2">
            <v>5.0307674538462663E-3</v>
          </cell>
          <cell r="CD2">
            <v>0.51404944123155272</v>
          </cell>
          <cell r="CE2">
            <v>0.37739197784285267</v>
          </cell>
          <cell r="CF2">
            <v>0.61108424784942039</v>
          </cell>
          <cell r="CG2">
            <v>0.48242609452941004</v>
          </cell>
          <cell r="CH2">
            <v>0.69209976110334748</v>
          </cell>
          <cell r="CI2">
            <v>0.43231220002731829</v>
          </cell>
          <cell r="CJ2">
            <v>0.42908401667586027</v>
          </cell>
          <cell r="CK2">
            <v>0.40748687106070053</v>
          </cell>
          <cell r="CL2">
            <v>0.43467783472439642</v>
          </cell>
          <cell r="CM2">
            <v>0.43453967437019908</v>
          </cell>
          <cell r="CN2">
            <v>0.61741667453710281</v>
          </cell>
          <cell r="CO2">
            <v>0.67243909027525017</v>
          </cell>
          <cell r="CP2">
            <v>0.63583118486891232</v>
          </cell>
          <cell r="CQ2">
            <v>0.64555538889186626</v>
          </cell>
          <cell r="CR2">
            <v>0.68676065125083152</v>
          </cell>
          <cell r="CS2">
            <v>0.63071036528434643</v>
          </cell>
          <cell r="CT2">
            <v>0.62857609630807543</v>
          </cell>
          <cell r="CU2">
            <v>0.61773926536589407</v>
          </cell>
          <cell r="CV2">
            <v>0.59751536882911838</v>
          </cell>
          <cell r="CW2">
            <v>0.67100204197355984</v>
          </cell>
          <cell r="CX2">
            <v>0.53402129274891985</v>
          </cell>
          <cell r="CY2">
            <v>0.54253849457756331</v>
          </cell>
          <cell r="CZ2">
            <v>0.52850892651820569</v>
          </cell>
          <cell r="DA2">
            <v>0.53678390344685012</v>
          </cell>
          <cell r="DB2">
            <v>0.52921998223197475</v>
          </cell>
          <cell r="DC2">
            <v>0.53767480494433961</v>
          </cell>
          <cell r="DD2">
            <v>0.52455879718408804</v>
          </cell>
          <cell r="DE2">
            <v>0.53624911146608645</v>
          </cell>
          <cell r="DF2">
            <v>1.0985355912427721</v>
          </cell>
        </row>
        <row r="3">
          <cell r="A3" t="str">
            <v>Vanillic acid</v>
          </cell>
          <cell r="B3">
            <v>5.8286198559964111E-3</v>
          </cell>
          <cell r="C3">
            <v>5.4402470058212762E-3</v>
          </cell>
          <cell r="D3">
            <v>4.3660918065126916E-3</v>
          </cell>
          <cell r="E3">
            <v>5.7518594745983483E-3</v>
          </cell>
          <cell r="F3">
            <v>5.6295984016561584E-3</v>
          </cell>
          <cell r="G3">
            <v>1.9741601946696264E-2</v>
          </cell>
          <cell r="H3">
            <v>1.8027593191889141E-2</v>
          </cell>
          <cell r="I3">
            <v>1.3230071600874244E-2</v>
          </cell>
          <cell r="J3">
            <v>1.4629562060203929E-2</v>
          </cell>
          <cell r="K3">
            <v>1.3626498465405812E-2</v>
          </cell>
          <cell r="L3">
            <v>7.3439715892525083E-3</v>
          </cell>
          <cell r="M3">
            <v>4.6265569227843788E-3</v>
          </cell>
          <cell r="N3">
            <v>9.7723721241493242E-3</v>
          </cell>
          <cell r="O3">
            <v>4.3289288470081122E-3</v>
          </cell>
          <cell r="P3">
            <v>3.5093745784725667E-3</v>
          </cell>
          <cell r="Q3">
            <v>2.3705529797993841E-2</v>
          </cell>
          <cell r="R3">
            <v>6.5182813045689464E-3</v>
          </cell>
          <cell r="S3">
            <v>1.1192846686720506E-2</v>
          </cell>
          <cell r="T3">
            <v>7.3094077038636726E-3</v>
          </cell>
          <cell r="U3">
            <v>1.9679174403015302E-2</v>
          </cell>
          <cell r="V3">
            <v>5.8848615909525281E-3</v>
          </cell>
          <cell r="W3">
            <v>8.8358315599766854E-3</v>
          </cell>
          <cell r="X3">
            <v>4.1049570290911412E-3</v>
          </cell>
          <cell r="Y3">
            <v>2.4405481365626642E-3</v>
          </cell>
          <cell r="Z3">
            <v>4.1963593516152796E-3</v>
          </cell>
          <cell r="AA3">
            <v>2.5200550627287382E-3</v>
          </cell>
          <cell r="AB3">
            <v>1.5361099634898406E-3</v>
          </cell>
          <cell r="AC3">
            <v>2.7525249010443989E-3</v>
          </cell>
          <cell r="AD3">
            <v>3.1525922335764972E-3</v>
          </cell>
          <cell r="AE3">
            <v>2.5932659388309474E-3</v>
          </cell>
          <cell r="AF3">
            <v>6.9613391276518227E-4</v>
          </cell>
          <cell r="AG3">
            <v>3.9957963343840763E-4</v>
          </cell>
          <cell r="AH3">
            <v>4.4110196997072701E-4</v>
          </cell>
          <cell r="AI3">
            <v>3.1335661790782461E-4</v>
          </cell>
          <cell r="AJ3">
            <v>2.5491085510501166E-4</v>
          </cell>
          <cell r="AK3">
            <v>8.4820217367858556E-4</v>
          </cell>
          <cell r="AL3">
            <v>2.0032700993062725E-3</v>
          </cell>
          <cell r="AM3">
            <v>7.092318486895834E-4</v>
          </cell>
          <cell r="AN3">
            <v>4.6391661744518117E-4</v>
          </cell>
          <cell r="AO3">
            <v>4.4557469760829905E-4</v>
          </cell>
          <cell r="AP3">
            <v>2.2413056912690685E-4</v>
          </cell>
          <cell r="AQ3">
            <v>2.1129501714515153E-4</v>
          </cell>
          <cell r="AR3">
            <v>1.1617638214773734E-4</v>
          </cell>
          <cell r="AS3">
            <v>1.4833345616930267E-4</v>
          </cell>
          <cell r="AT3">
            <v>3.3629618156315224E-4</v>
          </cell>
          <cell r="AU3">
            <v>1.2990959421162621E-4</v>
          </cell>
          <cell r="AV3">
            <v>1.5510325479248358E-4</v>
          </cell>
          <cell r="AW3">
            <v>1.5694945915541012E-4</v>
          </cell>
          <cell r="AX3">
            <v>2.008486088407554E-4</v>
          </cell>
          <cell r="AY3">
            <v>1.5421095910773857E-4</v>
          </cell>
          <cell r="AZ3">
            <v>1.745802297704868E-3</v>
          </cell>
          <cell r="BA3">
            <v>1.4608521422207776E-3</v>
          </cell>
          <cell r="BB3">
            <v>1.3283460346411398E-3</v>
          </cell>
          <cell r="BC3">
            <v>1.3527231807484402E-3</v>
          </cell>
          <cell r="BD3">
            <v>2.6221315100096237E-3</v>
          </cell>
          <cell r="BE3">
            <v>9.8303144896722486E-3</v>
          </cell>
          <cell r="BF3">
            <v>1.1894996394425638E-2</v>
          </cell>
          <cell r="BG3">
            <v>9.8814717802349194E-3</v>
          </cell>
          <cell r="BH3">
            <v>1.8170308685102061E-3</v>
          </cell>
          <cell r="BI3">
            <v>7.8137324346527013E-3</v>
          </cell>
          <cell r="BJ3">
            <v>8.6766170806178884E-3</v>
          </cell>
          <cell r="BK3">
            <v>3.323120684857502E-3</v>
          </cell>
          <cell r="BL3">
            <v>1.8375076999830717E-3</v>
          </cell>
          <cell r="BM3">
            <v>8.7921504346119665E-3</v>
          </cell>
          <cell r="BN3">
            <v>2.162674580148989E-3</v>
          </cell>
          <cell r="BO3">
            <v>4.0200126027556023E-3</v>
          </cell>
          <cell r="BP3">
            <v>3.0769800559206336E-3</v>
          </cell>
          <cell r="BQ3">
            <v>5.5060661800125131E-3</v>
          </cell>
          <cell r="BR3">
            <v>3.7672332158602403E-3</v>
          </cell>
          <cell r="BS3">
            <v>7.6762391686465781E-3</v>
          </cell>
          <cell r="BT3">
            <v>2.1084891880614881E-3</v>
          </cell>
          <cell r="BU3">
            <v>1.4828563554335173E-3</v>
          </cell>
          <cell r="BV3">
            <v>8.4653256280184958E-3</v>
          </cell>
          <cell r="BW3">
            <v>1.8864218381191662E-3</v>
          </cell>
          <cell r="BX3">
            <v>4.8653163771509179E-3</v>
          </cell>
          <cell r="BY3">
            <v>1.7317593274718058E-3</v>
          </cell>
          <cell r="BZ3">
            <v>1.5042214772385885E-3</v>
          </cell>
          <cell r="CA3">
            <v>1.391717273014287E-3</v>
          </cell>
          <cell r="CB3">
            <v>2.8789935395323418E-3</v>
          </cell>
          <cell r="CC3">
            <v>1.6466707589916016E-3</v>
          </cell>
          <cell r="CD3">
            <v>9.4444031834433576E-4</v>
          </cell>
          <cell r="CE3">
            <v>1.5499409944120558E-3</v>
          </cell>
          <cell r="CF3">
            <v>3.9926582924046546E-4</v>
          </cell>
          <cell r="CG3">
            <v>6.379841760833704E-4</v>
          </cell>
          <cell r="CH3">
            <v>2.623779781197929E-4</v>
          </cell>
          <cell r="CI3">
            <v>1.4665923927970794E-3</v>
          </cell>
          <cell r="CJ3">
            <v>1.5438297384857155E-3</v>
          </cell>
          <cell r="CK3">
            <v>1.5690260278054292E-3</v>
          </cell>
          <cell r="CL3">
            <v>1.3886989967662169E-3</v>
          </cell>
          <cell r="CM3">
            <v>1.5430214154371026E-3</v>
          </cell>
          <cell r="CN3">
            <v>5.1575239421285904E-4</v>
          </cell>
          <cell r="CO3">
            <v>3.5064429671793906E-4</v>
          </cell>
          <cell r="CP3">
            <v>4.0442773418810203E-4</v>
          </cell>
          <cell r="CQ3">
            <v>2.9987595437456599E-4</v>
          </cell>
          <cell r="CR3">
            <v>4.8037796230336187E-4</v>
          </cell>
          <cell r="CS3">
            <v>4.0077048259754808E-4</v>
          </cell>
          <cell r="CT3">
            <v>4.3848724711318407E-4</v>
          </cell>
          <cell r="CU3">
            <v>5.8667035604031373E-4</v>
          </cell>
          <cell r="CV3">
            <v>6.2509923093718761E-4</v>
          </cell>
          <cell r="CW3">
            <v>5.2936938483257327E-4</v>
          </cell>
          <cell r="CX3">
            <v>7.6818941393610367E-4</v>
          </cell>
          <cell r="CY3">
            <v>7.6890768138939032E-4</v>
          </cell>
          <cell r="CZ3">
            <v>7.8114322024788144E-4</v>
          </cell>
          <cell r="DA3">
            <v>7.7539223405367864E-4</v>
          </cell>
          <cell r="DB3">
            <v>7.835257701068396E-4</v>
          </cell>
          <cell r="DC3">
            <v>7.578679522464442E-4</v>
          </cell>
          <cell r="DD3">
            <v>7.834517722886278E-4</v>
          </cell>
          <cell r="DE3">
            <v>7.9066552366954736E-4</v>
          </cell>
          <cell r="DF3">
            <v>1.3721891239262336</v>
          </cell>
        </row>
        <row r="4">
          <cell r="A4" t="str">
            <v>Ferulic acid</v>
          </cell>
          <cell r="B4">
            <v>7.4654404124521734E-2</v>
          </cell>
          <cell r="C4">
            <v>7.5022676586742693E-2</v>
          </cell>
          <cell r="D4">
            <v>5.7110822182091563E-2</v>
          </cell>
          <cell r="E4">
            <v>7.9818985316492133E-2</v>
          </cell>
          <cell r="F4">
            <v>8.1702933940051931E-2</v>
          </cell>
          <cell r="G4">
            <v>7.2909484916780731E-2</v>
          </cell>
          <cell r="H4">
            <v>3.300468154478179E-2</v>
          </cell>
          <cell r="I4">
            <v>8.4281215777515808E-2</v>
          </cell>
          <cell r="J4">
            <v>1.6439263591996552E-2</v>
          </cell>
          <cell r="K4">
            <v>1.5741943717238669E-2</v>
          </cell>
          <cell r="L4">
            <v>8.3414581894517455E-3</v>
          </cell>
          <cell r="M4">
            <v>9.0459389472791127E-3</v>
          </cell>
          <cell r="N4">
            <v>3.9884371849702865E-2</v>
          </cell>
          <cell r="O4">
            <v>2.0781116918703713E-2</v>
          </cell>
          <cell r="P4">
            <v>1.1780921567635346E-2</v>
          </cell>
          <cell r="Q4">
            <v>0.15627757874854284</v>
          </cell>
          <cell r="R4">
            <v>2.0005467583512619E-2</v>
          </cell>
          <cell r="S4">
            <v>5.5251565157081226E-2</v>
          </cell>
          <cell r="T4">
            <v>6.9531127698603687E-2</v>
          </cell>
          <cell r="U4">
            <v>0.10611813616819268</v>
          </cell>
          <cell r="V4">
            <v>4.7513723489451043E-2</v>
          </cell>
          <cell r="W4">
            <v>5.2026391152168852E-2</v>
          </cell>
          <cell r="X4">
            <v>1.0758449226196473E-2</v>
          </cell>
          <cell r="Y4">
            <v>1.9242212912531725E-2</v>
          </cell>
          <cell r="Z4">
            <v>9.9013896372853027E-3</v>
          </cell>
          <cell r="AA4">
            <v>3.5699416568756963E-2</v>
          </cell>
          <cell r="AB4">
            <v>1.6722074073674563E-2</v>
          </cell>
          <cell r="AC4">
            <v>3.153808149646186E-2</v>
          </cell>
          <cell r="AD4">
            <v>3.6448299248386197E-2</v>
          </cell>
          <cell r="AE4">
            <v>4.0385739412319474E-2</v>
          </cell>
          <cell r="AF4">
            <v>4.6789391758063813E-2</v>
          </cell>
          <cell r="AG4">
            <v>1.3964421314867845E-2</v>
          </cell>
          <cell r="AH4">
            <v>9.6467291446473372E-3</v>
          </cell>
          <cell r="AI4">
            <v>1.3800543226112828E-2</v>
          </cell>
          <cell r="AJ4">
            <v>1.3129599847257069E-2</v>
          </cell>
          <cell r="AK4">
            <v>2.7749780386867162E-2</v>
          </cell>
          <cell r="AL4">
            <v>5.3929247814506302E-2</v>
          </cell>
          <cell r="AM4">
            <v>2.5258990538826701E-2</v>
          </cell>
          <cell r="AN4">
            <v>7.4052675284469061E-3</v>
          </cell>
          <cell r="AO4">
            <v>1.4154874169201333E-2</v>
          </cell>
          <cell r="AP4">
            <v>6.7300660512263563E-3</v>
          </cell>
          <cell r="AQ4">
            <v>5.2097373040631469E-3</v>
          </cell>
          <cell r="AR4">
            <v>6.3115419732494189E-3</v>
          </cell>
          <cell r="AS4">
            <v>5.7968687618742834E-3</v>
          </cell>
          <cell r="AT4">
            <v>1.6929691586983566E-2</v>
          </cell>
          <cell r="AU4">
            <v>7.4304848886012449E-3</v>
          </cell>
          <cell r="AV4">
            <v>8.819534740480162E-3</v>
          </cell>
          <cell r="AW4">
            <v>9.7994044530488166E-3</v>
          </cell>
          <cell r="AX4">
            <v>5.5913992452319419E-3</v>
          </cell>
          <cell r="AY4">
            <v>5.0169323418236579E-3</v>
          </cell>
          <cell r="AZ4">
            <v>4.8083868782677133E-3</v>
          </cell>
          <cell r="BA4">
            <v>5.6166166470274191E-3</v>
          </cell>
          <cell r="BB4">
            <v>6.32973603599202E-3</v>
          </cell>
          <cell r="BC4">
            <v>7.34436707256453E-3</v>
          </cell>
          <cell r="BD4">
            <v>9.5984796526555668E-3</v>
          </cell>
          <cell r="BE4">
            <v>3.1652722720875069E-2</v>
          </cell>
          <cell r="BF4">
            <v>5.8174801101412134E-2</v>
          </cell>
          <cell r="BG4">
            <v>2.5615320730797433E-2</v>
          </cell>
          <cell r="BH4">
            <v>5.481240724247439E-3</v>
          </cell>
          <cell r="BI4">
            <v>3.1893563313765812E-2</v>
          </cell>
          <cell r="BJ4">
            <v>2.3399541233832831E-2</v>
          </cell>
          <cell r="BK4">
            <v>1.0279960010040739E-2</v>
          </cell>
          <cell r="BL4">
            <v>5.1874498247739612E-3</v>
          </cell>
          <cell r="BM4">
            <v>2.4698296679302668E-2</v>
          </cell>
          <cell r="BN4">
            <v>8.1653447090218427E-3</v>
          </cell>
          <cell r="BO4">
            <v>1.9715223408080167E-2</v>
          </cell>
          <cell r="BP4">
            <v>1.428353296817206E-2</v>
          </cell>
          <cell r="BQ4">
            <v>3.2477046957219008E-2</v>
          </cell>
          <cell r="BR4">
            <v>7.9705539253290009E-3</v>
          </cell>
          <cell r="BS4">
            <v>4.6088032309708801E-2</v>
          </cell>
          <cell r="BT4">
            <v>7.0998179152305212E-3</v>
          </cell>
          <cell r="BU4">
            <v>4.1853043629773339E-3</v>
          </cell>
          <cell r="BV4">
            <v>5.0206593559410678E-2</v>
          </cell>
          <cell r="BW4">
            <v>7.6785344883852982E-3</v>
          </cell>
          <cell r="BX4">
            <v>1.1134211685911055E-2</v>
          </cell>
          <cell r="BY4">
            <v>6.77143180874924E-3</v>
          </cell>
          <cell r="BZ4">
            <v>5.1577902841932729E-3</v>
          </cell>
          <cell r="CA4">
            <v>5.3583627818219364E-3</v>
          </cell>
          <cell r="CB4">
            <v>1.0745052513577954E-2</v>
          </cell>
          <cell r="CC4">
            <v>1.2450815932812631E-2</v>
          </cell>
          <cell r="CD4">
            <v>1.9329361215216622E-3</v>
          </cell>
          <cell r="CE4">
            <v>1.7537338453869954E-3</v>
          </cell>
          <cell r="CF4">
            <v>2.2327985436501174E-3</v>
          </cell>
          <cell r="CG4">
            <v>9.5047747252704259E-3</v>
          </cell>
          <cell r="CH4">
            <v>2.2381716263097581E-3</v>
          </cell>
          <cell r="CI4">
            <v>2.0596423325767465E-3</v>
          </cell>
          <cell r="CJ4">
            <v>2.0079871368424264E-3</v>
          </cell>
          <cell r="CK4">
            <v>2.4929650440031685E-3</v>
          </cell>
          <cell r="CL4">
            <v>1.2605191788097065E-3</v>
          </cell>
          <cell r="CM4">
            <v>1.5190018854550091E-3</v>
          </cell>
          <cell r="CN4">
            <v>1.1414953456513645E-3</v>
          </cell>
          <cell r="CO4">
            <v>2.8735237809495158E-3</v>
          </cell>
          <cell r="CP4">
            <v>2.3386823497084683E-3</v>
          </cell>
          <cell r="CQ4">
            <v>3.5996019122254714E-3</v>
          </cell>
          <cell r="CR4">
            <v>1.1222979570324045E-3</v>
          </cell>
          <cell r="CS4">
            <v>2.0371361830837215E-3</v>
          </cell>
          <cell r="CT4">
            <v>2.3073100154664271E-3</v>
          </cell>
          <cell r="CU4">
            <v>1.4575062380365838E-3</v>
          </cell>
          <cell r="CV4">
            <v>1.7694958270398438E-3</v>
          </cell>
          <cell r="CW4">
            <v>1.2438023688863787E-3</v>
          </cell>
          <cell r="CX4">
            <v>4.6630798933821856E-3</v>
          </cell>
          <cell r="CY4">
            <v>4.4784620945569117E-3</v>
          </cell>
          <cell r="CZ4">
            <v>4.5574112674511731E-3</v>
          </cell>
          <cell r="DA4">
            <v>4.5150175612115751E-3</v>
          </cell>
          <cell r="DB4">
            <v>4.5887485180320627E-3</v>
          </cell>
          <cell r="DC4">
            <v>4.4718071644059493E-3</v>
          </cell>
          <cell r="DD4">
            <v>4.5147187028444224E-3</v>
          </cell>
          <cell r="DE4">
            <v>4.5359663243039507E-3</v>
          </cell>
          <cell r="DF4">
            <v>1.3814239929541812</v>
          </cell>
        </row>
        <row r="5">
          <cell r="A5" t="str">
            <v>Kaempferol</v>
          </cell>
          <cell r="B5">
            <v>0.1791384840932769</v>
          </cell>
          <cell r="C5">
            <v>0.16411315740020699</v>
          </cell>
          <cell r="D5">
            <v>0.13941169204660778</v>
          </cell>
          <cell r="E5">
            <v>0.17838701392524103</v>
          </cell>
          <cell r="F5">
            <v>0.21035251940921626</v>
          </cell>
          <cell r="G5">
            <v>9.3150138149259737E-2</v>
          </cell>
          <cell r="H5">
            <v>0.12384555210165188</v>
          </cell>
          <cell r="I5">
            <v>0.12988279054592888</v>
          </cell>
          <cell r="J5">
            <v>0.15608309406312018</v>
          </cell>
          <cell r="K5">
            <v>0.13459306168594379</v>
          </cell>
          <cell r="L5">
            <v>0.22494958409135268</v>
          </cell>
          <cell r="M5">
            <v>0.34901877008547982</v>
          </cell>
          <cell r="N5">
            <v>0.28389545870117666</v>
          </cell>
          <cell r="O5">
            <v>0.38576727856842591</v>
          </cell>
          <cell r="P5">
            <v>0.33389931615001928</v>
          </cell>
          <cell r="Q5">
            <v>3.0166545253715184E-2</v>
          </cell>
          <cell r="R5">
            <v>1.7229950170496437E-2</v>
          </cell>
          <cell r="S5">
            <v>4.0698693886355705E-2</v>
          </cell>
          <cell r="T5">
            <v>4.1115734363691078E-2</v>
          </cell>
          <cell r="U5">
            <v>4.0004406628597701E-2</v>
          </cell>
          <cell r="V5">
            <v>0.18106724981675754</v>
          </cell>
          <cell r="W5">
            <v>0.15163217895952497</v>
          </cell>
          <cell r="X5">
            <v>0.13804425016317085</v>
          </cell>
          <cell r="Y5">
            <v>8.9555280648496341E-2</v>
          </cell>
          <cell r="Z5">
            <v>0.13310182749850966</v>
          </cell>
          <cell r="AA5">
            <v>0.27776359463896722</v>
          </cell>
          <cell r="AB5">
            <v>0.26991076043164064</v>
          </cell>
          <cell r="AC5">
            <v>0.30157204719347613</v>
          </cell>
          <cell r="AD5">
            <v>0.25357727196469287</v>
          </cell>
          <cell r="AE5">
            <v>0.17628102292307066</v>
          </cell>
          <cell r="AF5">
            <v>5.7005045703932711E-3</v>
          </cell>
          <cell r="AG5">
            <v>8.9330678180318656E-3</v>
          </cell>
          <cell r="AH5">
            <v>4.887332174300092E-3</v>
          </cell>
          <cell r="AI5">
            <v>3.8334140963751828E-3</v>
          </cell>
          <cell r="AJ5">
            <v>2.7891067208461063E-3</v>
          </cell>
          <cell r="AK5">
            <v>9.0440685679262292E-3</v>
          </cell>
          <cell r="AL5">
            <v>1.0255909539981057E-2</v>
          </cell>
          <cell r="AM5">
            <v>1.4486771656762995E-2</v>
          </cell>
          <cell r="AN5">
            <v>1.7067446645606606E-2</v>
          </cell>
          <cell r="AO5">
            <v>1.5227732512391123E-2</v>
          </cell>
          <cell r="AP5">
            <v>5.6908515966748721E-3</v>
          </cell>
          <cell r="AQ5">
            <v>9.8886318095613001E-3</v>
          </cell>
          <cell r="AR5">
            <v>6.5371411502596075E-3</v>
          </cell>
          <cell r="AS5">
            <v>8.1891512107291915E-3</v>
          </cell>
          <cell r="AT5">
            <v>3.0022985281854702E-3</v>
          </cell>
          <cell r="AU5">
            <v>8.0406003539213716E-3</v>
          </cell>
          <cell r="AV5">
            <v>1.2385944276975798E-2</v>
          </cell>
          <cell r="AW5">
            <v>6.1009453517769652E-3</v>
          </cell>
          <cell r="AX5">
            <v>7.4734209672676554E-3</v>
          </cell>
          <cell r="AY5">
            <v>7.3431947639848718E-3</v>
          </cell>
          <cell r="AZ5">
            <v>0.16113328424856049</v>
          </cell>
          <cell r="BA5">
            <v>0.22082763679737183</v>
          </cell>
          <cell r="BB5">
            <v>0.24899995149718507</v>
          </cell>
          <cell r="BC5">
            <v>0.19657029747772281</v>
          </cell>
          <cell r="BD5">
            <v>0.21315860477906903</v>
          </cell>
          <cell r="BE5">
            <v>8.9866255254164834E-2</v>
          </cell>
          <cell r="BF5">
            <v>4.6635416758068995E-2</v>
          </cell>
          <cell r="BG5">
            <v>9.6305423071453108E-2</v>
          </cell>
          <cell r="BH5">
            <v>0.14507214054410075</v>
          </cell>
          <cell r="BI5">
            <v>5.5998959223816751E-2</v>
          </cell>
          <cell r="BJ5">
            <v>0.19188996147089959</v>
          </cell>
          <cell r="BK5">
            <v>0.34935903281194508</v>
          </cell>
          <cell r="BL5">
            <v>0.33770376859919443</v>
          </cell>
          <cell r="BM5">
            <v>0.27844343183960762</v>
          </cell>
          <cell r="BN5">
            <v>0.32136800758606537</v>
          </cell>
          <cell r="BO5">
            <v>0.12538580638676894</v>
          </cell>
          <cell r="BP5">
            <v>1.7111979790267514E-2</v>
          </cell>
          <cell r="BQ5">
            <v>2.3518167957548481E-2</v>
          </cell>
          <cell r="BR5">
            <v>1.3603163949224754E-2</v>
          </cell>
          <cell r="BS5">
            <v>2.6867043843600048E-2</v>
          </cell>
          <cell r="BT5">
            <v>0.22284465497553579</v>
          </cell>
          <cell r="BU5">
            <v>0.10815608564703036</v>
          </cell>
          <cell r="BV5">
            <v>0.14877328015364294</v>
          </cell>
          <cell r="BW5">
            <v>0.24309486903399533</v>
          </cell>
          <cell r="BX5">
            <v>0.35075624438830405</v>
          </cell>
          <cell r="BY5">
            <v>0.23074709711603161</v>
          </cell>
          <cell r="BZ5">
            <v>0.19551846606922085</v>
          </cell>
          <cell r="CA5">
            <v>0.20590645515005865</v>
          </cell>
          <cell r="CB5">
            <v>0.27925793707503505</v>
          </cell>
          <cell r="CC5">
            <v>0.27048733481532866</v>
          </cell>
          <cell r="CD5">
            <v>1.1014400821883243E-2</v>
          </cell>
          <cell r="CE5">
            <v>9.0079954973755778E-3</v>
          </cell>
          <cell r="CF5">
            <v>1.3592294368386547E-2</v>
          </cell>
          <cell r="CG5">
            <v>1.7638495139219671E-2</v>
          </cell>
          <cell r="CH5">
            <v>1.0772244731824619E-2</v>
          </cell>
          <cell r="CI5">
            <v>1.4018239705575803E-2</v>
          </cell>
          <cell r="CJ5">
            <v>1.2763165456706258E-2</v>
          </cell>
          <cell r="CK5">
            <v>1.0430899041682982E-2</v>
          </cell>
          <cell r="CL5">
            <v>8.5924823972046444E-3</v>
          </cell>
          <cell r="CM5">
            <v>7.1614112233816451E-3</v>
          </cell>
          <cell r="CN5">
            <v>1.056965204210482E-2</v>
          </cell>
          <cell r="CO5">
            <v>9.8947866378424187E-3</v>
          </cell>
          <cell r="CP5">
            <v>1.1897174632621568E-2</v>
          </cell>
          <cell r="CQ5">
            <v>1.0204465171753911E-2</v>
          </cell>
          <cell r="CR5">
            <v>9.0997653424063404E-3</v>
          </cell>
          <cell r="CS5">
            <v>1.0295631120840195E-2</v>
          </cell>
          <cell r="CT5">
            <v>1.0275318364508021E-2</v>
          </cell>
          <cell r="CU5">
            <v>9.9592562909049196E-3</v>
          </cell>
          <cell r="CV5">
            <v>9.1702157639489187E-3</v>
          </cell>
          <cell r="CW5">
            <v>7.9002170677995535E-3</v>
          </cell>
          <cell r="CX5">
            <v>2.9236619477675987E-2</v>
          </cell>
          <cell r="CY5">
            <v>2.8496173555673202E-2</v>
          </cell>
          <cell r="CZ5">
            <v>2.8963466807049452E-2</v>
          </cell>
          <cell r="DA5">
            <v>2.821146145390185E-2</v>
          </cell>
          <cell r="DB5">
            <v>2.9058179787488925E-2</v>
          </cell>
          <cell r="DC5">
            <v>2.8462261146152981E-2</v>
          </cell>
          <cell r="DD5">
            <v>2.9155100035957421E-2</v>
          </cell>
          <cell r="DE5">
            <v>2.8101973566665751E-2</v>
          </cell>
          <cell r="DF5">
            <v>1.5499871631928606</v>
          </cell>
        </row>
        <row r="6">
          <cell r="A6" t="str">
            <v>Quercetin</v>
          </cell>
          <cell r="B6">
            <v>0.19186122213585133</v>
          </cell>
          <cell r="C6">
            <v>0.19664656723289015</v>
          </cell>
          <cell r="D6">
            <v>0.12540338445246085</v>
          </cell>
          <cell r="E6">
            <v>0.18079675113016389</v>
          </cell>
          <cell r="F6">
            <v>0.18312428747556528</v>
          </cell>
          <cell r="G6">
            <v>0.2377086092822063</v>
          </cell>
          <cell r="H6">
            <v>0.24023949719537066</v>
          </cell>
          <cell r="I6">
            <v>0.25018829385390956</v>
          </cell>
          <cell r="J6">
            <v>0.25299231056800514</v>
          </cell>
          <cell r="K6">
            <v>0.26036687233543387</v>
          </cell>
          <cell r="L6">
            <v>0.20450629886918689</v>
          </cell>
          <cell r="M6">
            <v>0.16872355769370964</v>
          </cell>
          <cell r="N6">
            <v>0.1478302503280034</v>
          </cell>
          <cell r="O6">
            <v>0.15512028955862953</v>
          </cell>
          <cell r="P6">
            <v>0.18230820849863386</v>
          </cell>
          <cell r="Q6">
            <v>0.20085249440364836</v>
          </cell>
          <cell r="R6">
            <v>0.28413749877532518</v>
          </cell>
          <cell r="S6">
            <v>0.28811462528179083</v>
          </cell>
          <cell r="T6">
            <v>0.24638049356918759</v>
          </cell>
          <cell r="U6">
            <v>0.148572866750974</v>
          </cell>
          <cell r="V6">
            <v>0.21644348967465879</v>
          </cell>
          <cell r="W6">
            <v>0.20623980126239713</v>
          </cell>
          <cell r="X6">
            <v>0.19067316669840001</v>
          </cell>
          <cell r="Y6">
            <v>0.15718453059712109</v>
          </cell>
          <cell r="Z6">
            <v>0.19858879372213029</v>
          </cell>
          <cell r="AA6">
            <v>0.19367476835352712</v>
          </cell>
          <cell r="AB6">
            <v>0.21916740945665258</v>
          </cell>
          <cell r="AC6">
            <v>0.18034327604671535</v>
          </cell>
          <cell r="AD6">
            <v>0.16119330066039805</v>
          </cell>
          <cell r="AE6">
            <v>0.19295321806765528</v>
          </cell>
          <cell r="AF6">
            <v>0.11526593203876795</v>
          </cell>
          <cell r="AG6">
            <v>0.14765562614109032</v>
          </cell>
          <cell r="AH6">
            <v>8.4930171526121909E-2</v>
          </cell>
          <cell r="AI6">
            <v>8.6126382437104215E-2</v>
          </cell>
          <cell r="AJ6">
            <v>7.3656225732046304E-2</v>
          </cell>
          <cell r="AK6">
            <v>0.17003290852033948</v>
          </cell>
          <cell r="AL6">
            <v>0.20045310032352925</v>
          </cell>
          <cell r="AM6">
            <v>0.21523303221588944</v>
          </cell>
          <cell r="AN6">
            <v>0.16730295226440353</v>
          </cell>
          <cell r="AO6">
            <v>0.15899526029557409</v>
          </cell>
          <cell r="AP6">
            <v>9.673137860202663E-2</v>
          </cell>
          <cell r="AQ6">
            <v>0.10657514040823238</v>
          </cell>
          <cell r="AR6">
            <v>0.1092979083142139</v>
          </cell>
          <cell r="AS6">
            <v>0.10440088438723812</v>
          </cell>
          <cell r="AT6">
            <v>9.7240670173570423E-2</v>
          </cell>
          <cell r="AU6">
            <v>0.11385010565028983</v>
          </cell>
          <cell r="AV6">
            <v>0.11456652489574475</v>
          </cell>
          <cell r="AW6">
            <v>0.13771297153450077</v>
          </cell>
          <cell r="AX6">
            <v>8.5157116313482079E-2</v>
          </cell>
          <cell r="AY6">
            <v>7.9222590659589656E-2</v>
          </cell>
          <cell r="AZ6">
            <v>0.10733232622610712</v>
          </cell>
          <cell r="BA6">
            <v>0.20996868874475788</v>
          </cell>
          <cell r="BB6">
            <v>0.22422512894755681</v>
          </cell>
          <cell r="BC6">
            <v>0.16150780124152006</v>
          </cell>
          <cell r="BD6">
            <v>0.17622131559850876</v>
          </cell>
          <cell r="BE6">
            <v>0.28671969325512076</v>
          </cell>
          <cell r="BF6">
            <v>0.22561561020437335</v>
          </cell>
          <cell r="BG6">
            <v>0.29479141929774616</v>
          </cell>
          <cell r="BH6">
            <v>0.3061595652361449</v>
          </cell>
          <cell r="BI6">
            <v>0.26015933747231718</v>
          </cell>
          <cell r="BJ6">
            <v>0.18755642158153818</v>
          </cell>
          <cell r="BK6">
            <v>0.19342466979441203</v>
          </cell>
          <cell r="BL6">
            <v>0.23161247230455739</v>
          </cell>
          <cell r="BM6">
            <v>0.17651448674177783</v>
          </cell>
          <cell r="BN6">
            <v>0.254527389170217</v>
          </cell>
          <cell r="BO6">
            <v>0.26753221648688608</v>
          </cell>
          <cell r="BP6">
            <v>0.20208742345815026</v>
          </cell>
          <cell r="BQ6">
            <v>0.28993722389136872</v>
          </cell>
          <cell r="BR6">
            <v>0.215852672085561</v>
          </cell>
          <cell r="BS6">
            <v>0.24410116814270513</v>
          </cell>
          <cell r="BT6">
            <v>0.2883582539545021</v>
          </cell>
          <cell r="BU6">
            <v>0.20917730233969517</v>
          </cell>
          <cell r="BV6">
            <v>0.24940256888616116</v>
          </cell>
          <cell r="BW6">
            <v>0.28482464116222933</v>
          </cell>
          <cell r="BX6">
            <v>0.17257787437311287</v>
          </cell>
          <cell r="BY6">
            <v>0.20705046988912906</v>
          </cell>
          <cell r="BZ6">
            <v>0.17259925345065485</v>
          </cell>
          <cell r="CA6">
            <v>0.18266507948308228</v>
          </cell>
          <cell r="CB6">
            <v>0.25130000508385064</v>
          </cell>
          <cell r="CC6">
            <v>0.22248919932673852</v>
          </cell>
          <cell r="CD6">
            <v>7.7523894189201886E-2</v>
          </cell>
          <cell r="CE6">
            <v>7.7875480374906381E-2</v>
          </cell>
          <cell r="CF6">
            <v>8.8621037811436876E-2</v>
          </cell>
          <cell r="CG6">
            <v>0.1483631171775823</v>
          </cell>
          <cell r="CH6">
            <v>7.8374524651507516E-2</v>
          </cell>
          <cell r="CI6">
            <v>8.4936888444698891E-2</v>
          </cell>
          <cell r="CJ6">
            <v>0.10912919941066877</v>
          </cell>
          <cell r="CK6">
            <v>0.10652805025115969</v>
          </cell>
          <cell r="CL6">
            <v>7.2715413616432287E-2</v>
          </cell>
          <cell r="CM6">
            <v>9.1539502226113248E-2</v>
          </cell>
          <cell r="CN6">
            <v>7.9831208310664578E-2</v>
          </cell>
          <cell r="CO6">
            <v>9.5593566112609829E-2</v>
          </cell>
          <cell r="CP6">
            <v>8.3423986324375865E-2</v>
          </cell>
          <cell r="CQ6">
            <v>0.10899523832447253</v>
          </cell>
          <cell r="CR6">
            <v>7.2239847919815012E-2</v>
          </cell>
          <cell r="CS6">
            <v>8.088934774313794E-2</v>
          </cell>
          <cell r="CT6">
            <v>8.3610227578897148E-2</v>
          </cell>
          <cell r="CU6">
            <v>7.6121391355971485E-2</v>
          </cell>
          <cell r="CV6">
            <v>6.7761853174044984E-2</v>
          </cell>
          <cell r="CW6">
            <v>7.0774891273182497E-2</v>
          </cell>
          <cell r="CX6">
            <v>0.12772957391906495</v>
          </cell>
          <cell r="CY6">
            <v>0.12465880585957635</v>
          </cell>
          <cell r="CZ6">
            <v>0.13090978309892012</v>
          </cell>
          <cell r="DA6">
            <v>0.12942504173804825</v>
          </cell>
          <cell r="DB6">
            <v>0.12940316599232257</v>
          </cell>
          <cell r="DC6">
            <v>0.12748649851655558</v>
          </cell>
          <cell r="DD6">
            <v>0.13280084484023535</v>
          </cell>
          <cell r="DE6">
            <v>0.12993654993735868</v>
          </cell>
          <cell r="DF6">
            <v>1.8992992366947552</v>
          </cell>
        </row>
        <row r="7">
          <cell r="A7" t="str">
            <v>4-Hydroxybenzoic acid</v>
          </cell>
          <cell r="B7">
            <v>0.17307416802427783</v>
          </cell>
          <cell r="C7">
            <v>0.15663485095747723</v>
          </cell>
          <cell r="D7">
            <v>0.1268142216158982</v>
          </cell>
          <cell r="E7">
            <v>0.15664434777782715</v>
          </cell>
          <cell r="F7">
            <v>0.14191184021330366</v>
          </cell>
          <cell r="G7">
            <v>0.15496767135562989</v>
          </cell>
          <cell r="H7">
            <v>0.17171443509809647</v>
          </cell>
          <cell r="I7">
            <v>0.12232621620311109</v>
          </cell>
          <cell r="J7">
            <v>0.14821736524320125</v>
          </cell>
          <cell r="K7">
            <v>0.1315613153419895</v>
          </cell>
          <cell r="L7">
            <v>0.24751066782634407</v>
          </cell>
          <cell r="M7">
            <v>0.1426207019656571</v>
          </cell>
          <cell r="N7">
            <v>0.12922910583653752</v>
          </cell>
          <cell r="O7">
            <v>0.13459137718733746</v>
          </cell>
          <cell r="P7">
            <v>0.13460549168052924</v>
          </cell>
          <cell r="Q7">
            <v>0.14063860228363248</v>
          </cell>
          <cell r="R7">
            <v>7.2552390821943286E-2</v>
          </cell>
          <cell r="S7">
            <v>9.7466140684672159E-2</v>
          </cell>
          <cell r="T7">
            <v>6.5856800710608246E-2</v>
          </cell>
          <cell r="U7">
            <v>0.13270951394336172</v>
          </cell>
          <cell r="V7">
            <v>0.11110511829721195</v>
          </cell>
          <cell r="W7">
            <v>0.10400312663081925</v>
          </cell>
          <cell r="X7">
            <v>0.10646347380044212</v>
          </cell>
          <cell r="Y7">
            <v>0.19231800372886393</v>
          </cell>
          <cell r="Z7">
            <v>0.10082742444500359</v>
          </cell>
          <cell r="AA7">
            <v>8.5855942456724593E-2</v>
          </cell>
          <cell r="AB7">
            <v>8.8652969551436672E-2</v>
          </cell>
          <cell r="AC7">
            <v>0.11704043851187301</v>
          </cell>
          <cell r="AD7">
            <v>8.1379583777164158E-2</v>
          </cell>
          <cell r="AE7">
            <v>5.7556639149353321E-2</v>
          </cell>
          <cell r="AF7">
            <v>1.6924656216352241E-2</v>
          </cell>
          <cell r="AG7">
            <v>1.575283500232184E-2</v>
          </cell>
          <cell r="AH7">
            <v>1.2370951397337997E-2</v>
          </cell>
          <cell r="AI7">
            <v>1.5946979199956683E-2</v>
          </cell>
          <cell r="AJ7">
            <v>1.7080950250099695E-2</v>
          </cell>
          <cell r="AK7">
            <v>3.791809202037718E-2</v>
          </cell>
          <cell r="AL7">
            <v>7.441563404394512E-2</v>
          </cell>
          <cell r="AM7">
            <v>2.2150615683051159E-2</v>
          </cell>
          <cell r="AN7">
            <v>1.4034260487249798E-2</v>
          </cell>
          <cell r="AO7">
            <v>2.0055439121617898E-2</v>
          </cell>
          <cell r="AP7">
            <v>1.0171136942052671E-2</v>
          </cell>
          <cell r="AQ7">
            <v>7.5653891455730246E-3</v>
          </cell>
          <cell r="AR7">
            <v>5.6831116429573785E-3</v>
          </cell>
          <cell r="AS7">
            <v>6.0833094806935478E-3</v>
          </cell>
          <cell r="AT7">
            <v>1.6116855651049672E-2</v>
          </cell>
          <cell r="AU7">
            <v>5.9923127257337861E-3</v>
          </cell>
          <cell r="AV7">
            <v>6.2252290484521204E-3</v>
          </cell>
          <cell r="AW7">
            <v>7.5468411644493919E-3</v>
          </cell>
          <cell r="AX7">
            <v>5.0896037255813856E-3</v>
          </cell>
          <cell r="AY7">
            <v>4.4269884736027635E-3</v>
          </cell>
          <cell r="AZ7">
            <v>0.31445111309394058</v>
          </cell>
          <cell r="BA7">
            <v>0.16539759554268846</v>
          </cell>
          <cell r="BB7">
            <v>0.13893416680908219</v>
          </cell>
          <cell r="BC7">
            <v>0.22139727880197996</v>
          </cell>
          <cell r="BD7">
            <v>0.2205826894268636</v>
          </cell>
          <cell r="BE7">
            <v>9.1830859337821688E-2</v>
          </cell>
          <cell r="BF7">
            <v>0.19851103622339908</v>
          </cell>
          <cell r="BG7">
            <v>0.11608877315519665</v>
          </cell>
          <cell r="BH7">
            <v>6.657280834316491E-2</v>
          </cell>
          <cell r="BI7">
            <v>0.16879858130837153</v>
          </cell>
          <cell r="BJ7">
            <v>0.19216579708500703</v>
          </cell>
          <cell r="BK7">
            <v>0.12652819938488408</v>
          </cell>
          <cell r="BL7">
            <v>8.667584473482734E-2</v>
          </cell>
          <cell r="BM7">
            <v>0.13588437562482653</v>
          </cell>
          <cell r="BN7">
            <v>6.1002340733362213E-2</v>
          </cell>
          <cell r="BO7">
            <v>9.1294906552091215E-2</v>
          </cell>
          <cell r="BP7">
            <v>5.3554379395613645E-2</v>
          </cell>
          <cell r="BQ7">
            <v>7.1022218025000236E-2</v>
          </cell>
          <cell r="BR7">
            <v>5.9770740155958915E-2</v>
          </cell>
          <cell r="BS7">
            <v>9.024572166412155E-2</v>
          </cell>
          <cell r="BT7">
            <v>8.1340701852023398E-2</v>
          </cell>
          <cell r="BU7">
            <v>0.14841441241573783</v>
          </cell>
          <cell r="BV7">
            <v>0.11484606728849736</v>
          </cell>
          <cell r="BW7">
            <v>7.9305229257722085E-2</v>
          </cell>
          <cell r="BX7">
            <v>0.12881317815140456</v>
          </cell>
          <cell r="BY7">
            <v>0.13736009710570321</v>
          </cell>
          <cell r="BZ7">
            <v>0.1238967107278489</v>
          </cell>
          <cell r="CA7">
            <v>0.12960885208511977</v>
          </cell>
          <cell r="CB7">
            <v>6.3702983027547858E-2</v>
          </cell>
          <cell r="CC7">
            <v>9.7680069171270395E-2</v>
          </cell>
          <cell r="CD7">
            <v>1.6176990491205977E-2</v>
          </cell>
          <cell r="CE7">
            <v>3.2984364529107649E-2</v>
          </cell>
          <cell r="CF7">
            <v>8.0807552995630656E-3</v>
          </cell>
          <cell r="CG7">
            <v>1.650464139767565E-2</v>
          </cell>
          <cell r="CH7">
            <v>6.665936791854234E-3</v>
          </cell>
          <cell r="CI7">
            <v>2.9880180751937931E-2</v>
          </cell>
          <cell r="CJ7">
            <v>2.2911190304281584E-2</v>
          </cell>
          <cell r="CK7">
            <v>2.834883329940064E-2</v>
          </cell>
          <cell r="CL7">
            <v>2.0074715622760725E-2</v>
          </cell>
          <cell r="CM7">
            <v>2.2610001893052803E-2</v>
          </cell>
          <cell r="CN7">
            <v>8.2161629699233091E-3</v>
          </cell>
          <cell r="CO7">
            <v>9.8173123919835566E-3</v>
          </cell>
          <cell r="CP7">
            <v>7.7193594354194473E-3</v>
          </cell>
          <cell r="CQ7">
            <v>6.6556331348270881E-3</v>
          </cell>
          <cell r="CR7">
            <v>8.0814376609642542E-3</v>
          </cell>
          <cell r="CS7">
            <v>8.4660410796225348E-3</v>
          </cell>
          <cell r="CT7">
            <v>8.4843795891006678E-3</v>
          </cell>
          <cell r="CU7">
            <v>8.1571900028571606E-3</v>
          </cell>
          <cell r="CV7">
            <v>9.36962745979978E-3</v>
          </cell>
          <cell r="CW7">
            <v>6.6943837918462205E-3</v>
          </cell>
          <cell r="CX7">
            <v>2.0480540434536468E-2</v>
          </cell>
          <cell r="CY7">
            <v>1.9445009788853409E-2</v>
          </cell>
          <cell r="CZ7">
            <v>1.9926247521476054E-2</v>
          </cell>
          <cell r="DA7">
            <v>1.9773280758387066E-2</v>
          </cell>
          <cell r="DB7">
            <v>1.9551123243408148E-2</v>
          </cell>
          <cell r="DC7">
            <v>1.9394282124873791E-2</v>
          </cell>
          <cell r="DD7">
            <v>1.9899135288179489E-2</v>
          </cell>
          <cell r="DE7">
            <v>1.9310519242992635E-2</v>
          </cell>
          <cell r="DF7">
            <v>1.9484753807176611</v>
          </cell>
        </row>
        <row r="8">
          <cell r="A8" t="str">
            <v>Phloridzin</v>
          </cell>
          <cell r="B8">
            <v>1.3894924094119117E-3</v>
          </cell>
          <cell r="C8">
            <v>1.0668983567380008E-3</v>
          </cell>
          <cell r="D8">
            <v>9.9214590280909251E-4</v>
          </cell>
          <cell r="E8">
            <v>1.2920464461726362E-3</v>
          </cell>
          <cell r="F8">
            <v>1.3608154986379625E-3</v>
          </cell>
          <cell r="G8">
            <v>1.6682793364026813E-3</v>
          </cell>
          <cell r="H8">
            <v>1.6037981463864776E-3</v>
          </cell>
          <cell r="I8">
            <v>1.7781329318270192E-3</v>
          </cell>
          <cell r="J8">
            <v>1.2626979622528569E-3</v>
          </cell>
          <cell r="K8">
            <v>1.0829923851357458E-3</v>
          </cell>
          <cell r="L8">
            <v>0</v>
          </cell>
          <cell r="M8">
            <v>1.5944074356118983E-3</v>
          </cell>
          <cell r="N8">
            <v>2.9441259216044088E-3</v>
          </cell>
          <cell r="O8">
            <v>2.4534295750840204E-3</v>
          </cell>
          <cell r="P8">
            <v>1.233280221010376E-3</v>
          </cell>
          <cell r="Q8">
            <v>9.1828469127876297E-4</v>
          </cell>
          <cell r="R8">
            <v>7.4150405385853453E-4</v>
          </cell>
          <cell r="S8">
            <v>2.067617926117721E-3</v>
          </cell>
          <cell r="T8">
            <v>1.1049912509063071E-3</v>
          </cell>
          <cell r="U8">
            <v>5.8128747433743488E-4</v>
          </cell>
          <cell r="V8">
            <v>1.5074798078879483E-3</v>
          </cell>
          <cell r="W8">
            <v>1.6258187123797279E-3</v>
          </cell>
          <cell r="X8">
            <v>1.4999321779797386E-3</v>
          </cell>
          <cell r="Y8">
            <v>1.2534764000553652E-3</v>
          </cell>
          <cell r="Z8">
            <v>1.4568643122754806E-3</v>
          </cell>
          <cell r="AA8">
            <v>1.743294966921096E-3</v>
          </cell>
          <cell r="AB8">
            <v>2.5852178462831459E-3</v>
          </cell>
          <cell r="AC8">
            <v>2.2816482203817166E-3</v>
          </cell>
          <cell r="AD8">
            <v>2.2796178396222487E-3</v>
          </cell>
          <cell r="AE8">
            <v>2.5795256711379803E-3</v>
          </cell>
          <cell r="AF8">
            <v>1.2732477607553404E-3</v>
          </cell>
          <cell r="AG8">
            <v>2.4742479480236558E-3</v>
          </cell>
          <cell r="AH8">
            <v>2.0886558383789566E-3</v>
          </cell>
          <cell r="AI8">
            <v>2.7648026781755147E-3</v>
          </cell>
          <cell r="AJ8">
            <v>3.1690391986523578E-3</v>
          </cell>
          <cell r="AK8">
            <v>6.4256470666609854E-3</v>
          </cell>
          <cell r="AL8">
            <v>4.7412420585432186E-3</v>
          </cell>
          <cell r="AM8">
            <v>4.0575744546386188E-3</v>
          </cell>
          <cell r="AN8">
            <v>3.0956606584451023E-3</v>
          </cell>
          <cell r="AO8">
            <v>3.6344915164776832E-3</v>
          </cell>
          <cell r="AP8">
            <v>1.7648482332012431E-3</v>
          </cell>
          <cell r="AQ8">
            <v>2.1450599292309781E-3</v>
          </cell>
          <cell r="AR8">
            <v>1.673359730133731E-3</v>
          </cell>
          <cell r="AS8">
            <v>1.9980947157155074E-3</v>
          </cell>
          <cell r="AT8">
            <v>2.4928423139150826E-3</v>
          </cell>
          <cell r="AU8">
            <v>2.1623443395971569E-3</v>
          </cell>
          <cell r="AV8">
            <v>1.9812161555549882E-3</v>
          </cell>
          <cell r="AW8">
            <v>2.5553016240648439E-3</v>
          </cell>
          <cell r="AX8">
            <v>1.9241717202628165E-3</v>
          </cell>
          <cell r="AY8">
            <v>1.9859263196573169E-3</v>
          </cell>
          <cell r="AZ8">
            <v>1.2341167710545977E-3</v>
          </cell>
          <cell r="BA8">
            <v>1.8986719255990529E-3</v>
          </cell>
          <cell r="BB8">
            <v>2.2627324116912093E-3</v>
          </cell>
          <cell r="BC8">
            <v>1.6964175453609257E-3</v>
          </cell>
          <cell r="BD8">
            <v>1.3453143426867089E-3</v>
          </cell>
          <cell r="BE8">
            <v>5.5001983710921409E-4</v>
          </cell>
          <cell r="BF8">
            <v>6.5946174159597242E-4</v>
          </cell>
          <cell r="BG8">
            <v>1.0091946904679568E-3</v>
          </cell>
          <cell r="BH8">
            <v>1.3618292602906969E-3</v>
          </cell>
          <cell r="BI8">
            <v>1.3018767949401291E-3</v>
          </cell>
          <cell r="BJ8">
            <v>0</v>
          </cell>
          <cell r="BK8">
            <v>2.1610104859532235E-3</v>
          </cell>
          <cell r="BL8">
            <v>1.9445398929309207E-3</v>
          </cell>
          <cell r="BM8">
            <v>1.6963505411240313E-3</v>
          </cell>
          <cell r="BN8">
            <v>7.3670442040795544E-4</v>
          </cell>
          <cell r="BO8">
            <v>1.0232725507285981E-3</v>
          </cell>
          <cell r="BP8">
            <v>1.141869731146259E-3</v>
          </cell>
          <cell r="BQ8">
            <v>8.325669918893483E-4</v>
          </cell>
          <cell r="BR8">
            <v>7.403227189109082E-4</v>
          </cell>
          <cell r="BS8">
            <v>1.0012914652207682E-3</v>
          </cell>
          <cell r="BT8">
            <v>1.9657488514931956E-3</v>
          </cell>
          <cell r="BU8">
            <v>1.0413037052489542E-3</v>
          </cell>
          <cell r="BV8">
            <v>9.2939033900244676E-4</v>
          </cell>
          <cell r="BW8">
            <v>1.9067588594173007E-3</v>
          </cell>
          <cell r="BX8">
            <v>1.9747355452811063E-3</v>
          </cell>
          <cell r="BY8">
            <v>1.6810392284114105E-3</v>
          </cell>
          <cell r="BZ8">
            <v>1.7493998900749274E-3</v>
          </cell>
          <cell r="CA8">
            <v>1.7482489717990592E-3</v>
          </cell>
          <cell r="CB8">
            <v>1.3579600615871478E-3</v>
          </cell>
          <cell r="CC8">
            <v>1.2391730777518235E-3</v>
          </cell>
          <cell r="CD8">
            <v>3.1178296703789671E-3</v>
          </cell>
          <cell r="CE8">
            <v>3.8433356671637229E-3</v>
          </cell>
          <cell r="CF8">
            <v>2.2085161878253648E-3</v>
          </cell>
          <cell r="CG8">
            <v>2.8741063467601501E-3</v>
          </cell>
          <cell r="CH8">
            <v>1.8784080218975081E-3</v>
          </cell>
          <cell r="CI8">
            <v>3.8410731797202283E-3</v>
          </cell>
          <cell r="CJ8">
            <v>3.4522073299717497E-3</v>
          </cell>
          <cell r="CK8">
            <v>3.716748571077475E-3</v>
          </cell>
          <cell r="CL8">
            <v>2.8782682713571696E-3</v>
          </cell>
          <cell r="CM8">
            <v>3.2328908073741757E-3</v>
          </cell>
          <cell r="CN8">
            <v>2.5560559851931109E-3</v>
          </cell>
          <cell r="CO8">
            <v>2.0096724616332196E-3</v>
          </cell>
          <cell r="CP8">
            <v>1.8698621435090498E-3</v>
          </cell>
          <cell r="CQ8">
            <v>2.1462298992541021E-3</v>
          </cell>
          <cell r="CR8">
            <v>2.1472756593313028E-3</v>
          </cell>
          <cell r="CS8">
            <v>2.6386977691621686E-3</v>
          </cell>
          <cell r="CT8">
            <v>2.798888139577984E-3</v>
          </cell>
          <cell r="CU8">
            <v>2.638554359510068E-3</v>
          </cell>
          <cell r="CV8">
            <v>1.7609622133171795E-3</v>
          </cell>
          <cell r="CW8">
            <v>1.9836234768997791E-3</v>
          </cell>
          <cell r="CX8">
            <v>1.655616928985647E-3</v>
          </cell>
          <cell r="CY8">
            <v>1.5992476531068351E-3</v>
          </cell>
          <cell r="CZ8">
            <v>1.6492228249195679E-3</v>
          </cell>
          <cell r="DA8">
            <v>1.569698193866105E-3</v>
          </cell>
          <cell r="DB8">
            <v>1.6152292374101789E-3</v>
          </cell>
          <cell r="DC8">
            <v>1.5846090607173978E-3</v>
          </cell>
          <cell r="DD8">
            <v>1.5861522524687501E-3</v>
          </cell>
          <cell r="DE8">
            <v>1.5757072137229777E-3</v>
          </cell>
          <cell r="DF8">
            <v>2.0439719402700849</v>
          </cell>
        </row>
        <row r="9">
          <cell r="A9" t="str">
            <v>(+/-)-Naringenin</v>
          </cell>
          <cell r="B9">
            <v>2.1212829972142673E-3</v>
          </cell>
          <cell r="C9">
            <v>2.1907186198149497E-3</v>
          </cell>
          <cell r="D9">
            <v>1.6294681451459101E-3</v>
          </cell>
          <cell r="E9">
            <v>2.2999313793497381E-3</v>
          </cell>
          <cell r="F9">
            <v>2.2286643204807461E-3</v>
          </cell>
          <cell r="G9">
            <v>2.7197742716431133E-3</v>
          </cell>
          <cell r="H9">
            <v>3.8544238561208431E-3</v>
          </cell>
          <cell r="I9">
            <v>2.7874513503176497E-3</v>
          </cell>
          <cell r="J9">
            <v>4.3986955447602094E-3</v>
          </cell>
          <cell r="K9">
            <v>3.8637606535994137E-3</v>
          </cell>
          <cell r="L9">
            <v>6.1963591752204044E-3</v>
          </cell>
          <cell r="M9">
            <v>7.5128680581365318E-3</v>
          </cell>
          <cell r="N9">
            <v>7.1692645142482688E-3</v>
          </cell>
          <cell r="O9">
            <v>1.1941835050147852E-2</v>
          </cell>
          <cell r="P9">
            <v>7.6448508327704064E-3</v>
          </cell>
          <cell r="Q9">
            <v>5.0015183621051774E-3</v>
          </cell>
          <cell r="R9">
            <v>5.0410042501210341E-3</v>
          </cell>
          <cell r="S9">
            <v>9.5302796801475589E-3</v>
          </cell>
          <cell r="T9">
            <v>4.5898996849072955E-3</v>
          </cell>
          <cell r="U9">
            <v>6.0009378902506549E-3</v>
          </cell>
          <cell r="V9">
            <v>3.8585643992641826E-3</v>
          </cell>
          <cell r="W9">
            <v>2.366682778270754E-3</v>
          </cell>
          <cell r="X9">
            <v>6.7372704283018775E-3</v>
          </cell>
          <cell r="Y9">
            <v>3.886118155259148E-3</v>
          </cell>
          <cell r="Z9">
            <v>6.6127916154931415E-3</v>
          </cell>
          <cell r="AA9">
            <v>5.1877347162063211E-3</v>
          </cell>
          <cell r="AB9">
            <v>3.8624825852134788E-3</v>
          </cell>
          <cell r="AC9">
            <v>6.5649204179874738E-3</v>
          </cell>
          <cell r="AD9">
            <v>7.6840139092196379E-3</v>
          </cell>
          <cell r="AE9">
            <v>1.7346675622926255E-2</v>
          </cell>
          <cell r="AF9">
            <v>6.8765870103831683E-3</v>
          </cell>
          <cell r="AG9">
            <v>5.9079507467213735E-3</v>
          </cell>
          <cell r="AH9">
            <v>8.5182355621172146E-3</v>
          </cell>
          <cell r="AI9">
            <v>1.3263826835145789E-2</v>
          </cell>
          <cell r="AJ9">
            <v>8.6257795755283022E-3</v>
          </cell>
          <cell r="AK9">
            <v>9.4319469601113846E-3</v>
          </cell>
          <cell r="AL9">
            <v>1.0718723849052501E-2</v>
          </cell>
          <cell r="AM9">
            <v>8.7125656814851203E-3</v>
          </cell>
          <cell r="AN9">
            <v>1.0305194329736669E-2</v>
          </cell>
          <cell r="AO9">
            <v>5.7190813706487686E-3</v>
          </cell>
          <cell r="AP9">
            <v>9.8735355588999412E-3</v>
          </cell>
          <cell r="AQ9">
            <v>1.2004200545951827E-2</v>
          </cell>
          <cell r="AR9">
            <v>9.6744463355109122E-3</v>
          </cell>
          <cell r="AS9">
            <v>1.4832687669254697E-2</v>
          </cell>
          <cell r="AT9">
            <v>6.509576804549797E-3</v>
          </cell>
          <cell r="AU9">
            <v>1.587431826570021E-2</v>
          </cell>
          <cell r="AV9">
            <v>1.9449807042607656E-2</v>
          </cell>
          <cell r="AW9">
            <v>9.9596677859007058E-3</v>
          </cell>
          <cell r="AX9">
            <v>1.8174817219310867E-2</v>
          </cell>
          <cell r="AY9">
            <v>1.6097364036017626E-2</v>
          </cell>
          <cell r="AZ9">
            <v>1.3338900615569576E-3</v>
          </cell>
          <cell r="BA9">
            <v>2.2613659867022529E-3</v>
          </cell>
          <cell r="BB9">
            <v>1.8829877126979248E-3</v>
          </cell>
          <cell r="BC9">
            <v>1.4351259143986213E-3</v>
          </cell>
          <cell r="BD9">
            <v>1.843133808317485E-3</v>
          </cell>
          <cell r="BE9">
            <v>2.7010146481131501E-2</v>
          </cell>
          <cell r="BF9">
            <v>2.9861919370095967E-3</v>
          </cell>
          <cell r="BG9">
            <v>3.8134627968031353E-3</v>
          </cell>
          <cell r="BH9">
            <v>3.5238947182743164E-3</v>
          </cell>
          <cell r="BI9">
            <v>6.6654402459460785E-3</v>
          </cell>
          <cell r="BJ9">
            <v>3.9068477509665508E-3</v>
          </cell>
          <cell r="BK9">
            <v>5.4865822943872596E-3</v>
          </cell>
          <cell r="BL9">
            <v>6.2363404716543518E-3</v>
          </cell>
          <cell r="BM9">
            <v>6.0869469142179264E-3</v>
          </cell>
          <cell r="BN9">
            <v>4.2715348525977186E-3</v>
          </cell>
          <cell r="BO9">
            <v>4.9745145464562103E-3</v>
          </cell>
          <cell r="BP9">
            <v>7.4434994455301988E-3</v>
          </cell>
          <cell r="BQ9">
            <v>7.086307763882178E-3</v>
          </cell>
          <cell r="BR9">
            <v>5.1799304022430489E-3</v>
          </cell>
          <cell r="BS9">
            <v>6.3384251286726073E-3</v>
          </cell>
          <cell r="BT9">
            <v>3.3784246186090864E-3</v>
          </cell>
          <cell r="BU9">
            <v>3.5246409016181286E-3</v>
          </cell>
          <cell r="BV9">
            <v>4.1392838115950374E-3</v>
          </cell>
          <cell r="BW9">
            <v>3.4955346856029457E-3</v>
          </cell>
          <cell r="BX9">
            <v>5.826413626384681E-3</v>
          </cell>
          <cell r="BY9">
            <v>4.4406894284821511E-3</v>
          </cell>
          <cell r="BZ9">
            <v>2.061407816922268E-3</v>
          </cell>
          <cell r="CA9">
            <v>2.1226244231985418E-3</v>
          </cell>
          <cell r="CB9">
            <v>1.6647161581077079E-2</v>
          </cell>
          <cell r="CC9">
            <v>2.7228685865563389E-3</v>
          </cell>
          <cell r="CD9">
            <v>8.6128104126112701E-3</v>
          </cell>
          <cell r="CE9">
            <v>6.775677592800719E-3</v>
          </cell>
          <cell r="CF9">
            <v>9.165398016971334E-3</v>
          </cell>
          <cell r="CG9">
            <v>4.6668139949818397E-3</v>
          </cell>
          <cell r="CH9">
            <v>1.0496209531445892E-2</v>
          </cell>
          <cell r="CI9">
            <v>1.263609320673246E-2</v>
          </cell>
          <cell r="CJ9">
            <v>8.6850441002913632E-3</v>
          </cell>
          <cell r="CK9">
            <v>8.6399208291241692E-3</v>
          </cell>
          <cell r="CL9">
            <v>7.0112214210871493E-3</v>
          </cell>
          <cell r="CM9">
            <v>1.146496062942025E-2</v>
          </cell>
          <cell r="CN9">
            <v>1.4915922392607639E-2</v>
          </cell>
          <cell r="CO9">
            <v>1.1225064116529989E-2</v>
          </cell>
          <cell r="CP9">
            <v>1.3272428266732977E-2</v>
          </cell>
          <cell r="CQ9">
            <v>8.4110795584709293E-3</v>
          </cell>
          <cell r="CR9">
            <v>1.2164900330326245E-2</v>
          </cell>
          <cell r="CS9">
            <v>1.4809357887809217E-2</v>
          </cell>
          <cell r="CT9">
            <v>1.4621711021819755E-2</v>
          </cell>
          <cell r="CU9">
            <v>1.6090953938747505E-2</v>
          </cell>
          <cell r="CV9">
            <v>1.4496795772233478E-2</v>
          </cell>
          <cell r="CW9">
            <v>1.3044852917819275E-2</v>
          </cell>
          <cell r="CX9">
            <v>9.5846534248539856E-3</v>
          </cell>
          <cell r="CY9">
            <v>9.1327771888638498E-3</v>
          </cell>
          <cell r="CZ9">
            <v>9.4301671985788111E-3</v>
          </cell>
          <cell r="DA9">
            <v>9.1671525751806232E-3</v>
          </cell>
          <cell r="DB9">
            <v>9.4217500934578625E-3</v>
          </cell>
          <cell r="DC9">
            <v>9.2687892276854238E-3</v>
          </cell>
          <cell r="DD9">
            <v>9.4566507083077758E-3</v>
          </cell>
          <cell r="DE9">
            <v>9.0123528051337439E-3</v>
          </cell>
          <cell r="DF9">
            <v>2.0938780694624826</v>
          </cell>
        </row>
        <row r="10">
          <cell r="A10" t="str">
            <v>3;5-DHB acid</v>
          </cell>
          <cell r="B10">
            <v>1.8628707423323062E-2</v>
          </cell>
          <cell r="C10">
            <v>2.8887217833675215E-2</v>
          </cell>
          <cell r="D10">
            <v>1.5477107347543007E-2</v>
          </cell>
          <cell r="E10">
            <v>1.8410880696313199E-2</v>
          </cell>
          <cell r="F10">
            <v>2.1454296221476203E-2</v>
          </cell>
          <cell r="G10">
            <v>3.2680907073777729E-2</v>
          </cell>
          <cell r="H10">
            <v>4.0691177392169459E-2</v>
          </cell>
          <cell r="I10">
            <v>4.5477860611897097E-2</v>
          </cell>
          <cell r="J10">
            <v>4.5204010628155288E-2</v>
          </cell>
          <cell r="K10">
            <v>6.2322648768039876E-2</v>
          </cell>
          <cell r="L10">
            <v>2.2797400316571577E-2</v>
          </cell>
          <cell r="M10">
            <v>5.3542725519844438E-2</v>
          </cell>
          <cell r="N10">
            <v>3.1795438572434019E-2</v>
          </cell>
          <cell r="O10">
            <v>1.8984225835384869E-2</v>
          </cell>
          <cell r="P10">
            <v>4.6062720159531619E-2</v>
          </cell>
          <cell r="Q10">
            <v>3.9086250745071667E-2</v>
          </cell>
          <cell r="R10">
            <v>0.24952876920242106</v>
          </cell>
          <cell r="S10">
            <v>4.8017770779830167E-2</v>
          </cell>
          <cell r="T10">
            <v>0.13767145636936645</v>
          </cell>
          <cell r="U10">
            <v>0.18340405958068273</v>
          </cell>
          <cell r="V10">
            <v>0.12290410735512841</v>
          </cell>
          <cell r="W10">
            <v>2.4791525518364752E-2</v>
          </cell>
          <cell r="X10">
            <v>8.756121093326906E-2</v>
          </cell>
          <cell r="Y10">
            <v>0.2527805377325919</v>
          </cell>
          <cell r="Z10">
            <v>9.0365554959454725E-2</v>
          </cell>
          <cell r="AA10">
            <v>4.5285817523645355E-2</v>
          </cell>
          <cell r="AB10">
            <v>6.1775908693860064E-2</v>
          </cell>
          <cell r="AC10">
            <v>3.687762243642511E-2</v>
          </cell>
          <cell r="AD10">
            <v>2.0179854206923385E-2</v>
          </cell>
          <cell r="AE10">
            <v>1.593138881967579E-2</v>
          </cell>
          <cell r="AF10">
            <v>2.3618707642721361E-2</v>
          </cell>
          <cell r="AG10">
            <v>2.6572126737994001E-2</v>
          </cell>
          <cell r="AH10">
            <v>1.5409456478469868E-2</v>
          </cell>
          <cell r="AI10">
            <v>9.3777248365577732E-3</v>
          </cell>
          <cell r="AJ10">
            <v>9.3950080291776775E-3</v>
          </cell>
          <cell r="AK10">
            <v>1.3541563243710883E-2</v>
          </cell>
          <cell r="AL10">
            <v>5.6397651051950624E-2</v>
          </cell>
          <cell r="AM10">
            <v>4.1527076140872532E-2</v>
          </cell>
          <cell r="AN10">
            <v>0.11764195810804479</v>
          </cell>
          <cell r="AO10">
            <v>8.6070592332678164E-2</v>
          </cell>
          <cell r="AP10">
            <v>1.2724423602747068E-2</v>
          </cell>
          <cell r="AQ10">
            <v>3.1544904347348975E-2</v>
          </cell>
          <cell r="AR10">
            <v>9.809571895827025E-3</v>
          </cell>
          <cell r="AS10">
            <v>1.2219781475343753E-2</v>
          </cell>
          <cell r="AT10">
            <v>6.0765602935970667E-3</v>
          </cell>
          <cell r="AU10">
            <v>1.8751673247309059E-2</v>
          </cell>
          <cell r="AV10">
            <v>3.7226374915018644E-2</v>
          </cell>
          <cell r="AW10">
            <v>1.5937257733157385E-2</v>
          </cell>
          <cell r="AX10">
            <v>4.6115743727430339E-2</v>
          </cell>
          <cell r="AY10">
            <v>4.1790780004134401E-2</v>
          </cell>
          <cell r="AZ10">
            <v>0.27397423555990036</v>
          </cell>
          <cell r="BA10">
            <v>0.13985961933920735</v>
          </cell>
          <cell r="BB10">
            <v>0.10963218012158624</v>
          </cell>
          <cell r="BC10">
            <v>0.19682124166528728</v>
          </cell>
          <cell r="BD10">
            <v>0.15206636101768861</v>
          </cell>
          <cell r="BE10">
            <v>3.2090747295355118E-2</v>
          </cell>
          <cell r="BF10">
            <v>1.2038462658162575E-2</v>
          </cell>
          <cell r="BG10">
            <v>6.3709629696551875E-2</v>
          </cell>
          <cell r="BH10">
            <v>0.13104357946440232</v>
          </cell>
          <cell r="BI10">
            <v>1.4303718552689805E-2</v>
          </cell>
          <cell r="BJ10">
            <v>1.6432717433960835E-2</v>
          </cell>
          <cell r="BK10">
            <v>2.1590358422586275E-2</v>
          </cell>
          <cell r="BL10">
            <v>4.4221560109174163E-2</v>
          </cell>
          <cell r="BM10">
            <v>3.1957330332315494E-2</v>
          </cell>
          <cell r="BN10">
            <v>4.0548411596411753E-2</v>
          </cell>
          <cell r="BO10">
            <v>0.15801629113740565</v>
          </cell>
          <cell r="BP10">
            <v>0.40547814431357765</v>
          </cell>
          <cell r="BQ10">
            <v>0.17138564148044197</v>
          </cell>
          <cell r="BR10">
            <v>0.39662132350944757</v>
          </cell>
          <cell r="BS10">
            <v>0.2106589581228403</v>
          </cell>
          <cell r="BT10">
            <v>2.4027375859603531E-2</v>
          </cell>
          <cell r="BU10">
            <v>0.22496865440528258</v>
          </cell>
          <cell r="BV10">
            <v>2.0369147055038252E-2</v>
          </cell>
          <cell r="BW10">
            <v>3.4366278160786537E-2</v>
          </cell>
          <cell r="BX10">
            <v>2.7784559116405986E-2</v>
          </cell>
          <cell r="BY10">
            <v>0.13818717253747642</v>
          </cell>
          <cell r="BZ10">
            <v>0.13876010019428414</v>
          </cell>
          <cell r="CA10">
            <v>0.14622318151409577</v>
          </cell>
          <cell r="CB10">
            <v>6.242151260189064E-2</v>
          </cell>
          <cell r="CC10">
            <v>0.11326355457605934</v>
          </cell>
          <cell r="CD10">
            <v>0.27097989401772443</v>
          </cell>
          <cell r="CE10">
            <v>0.39277464783099575</v>
          </cell>
          <cell r="CF10">
            <v>0.1516002293183478</v>
          </cell>
          <cell r="CG10">
            <v>0.10607769392207474</v>
          </cell>
          <cell r="CH10">
            <v>0.1076162434986201</v>
          </cell>
          <cell r="CI10">
            <v>0.28781557526899021</v>
          </cell>
          <cell r="CJ10">
            <v>0.27631878448615749</v>
          </cell>
          <cell r="CK10">
            <v>0.30607659443913027</v>
          </cell>
          <cell r="CL10">
            <v>0.36091225309195368</v>
          </cell>
          <cell r="CM10">
            <v>0.31648757644051767</v>
          </cell>
          <cell r="CN10">
            <v>0.1650588667254014</v>
          </cell>
          <cell r="CO10">
            <v>7.5439770911178178E-2</v>
          </cell>
          <cell r="CP10">
            <v>0.14702502927084476</v>
          </cell>
          <cell r="CQ10">
            <v>8.8092465415432294E-2</v>
          </cell>
          <cell r="CR10">
            <v>0.12565270231379042</v>
          </cell>
          <cell r="CS10">
            <v>0.15254561265609046</v>
          </cell>
          <cell r="CT10">
            <v>0.1507885240712098</v>
          </cell>
          <cell r="CU10">
            <v>0.17484928125491919</v>
          </cell>
          <cell r="CV10">
            <v>0.21469769454659154</v>
          </cell>
          <cell r="CW10">
            <v>0.14160901133686232</v>
          </cell>
          <cell r="CX10">
            <v>0.12525044995573051</v>
          </cell>
          <cell r="CY10">
            <v>0.11817945582313223</v>
          </cell>
          <cell r="CZ10">
            <v>0.12228360534511008</v>
          </cell>
          <cell r="DA10">
            <v>0.11891812595132334</v>
          </cell>
          <cell r="DB10">
            <v>0.12216993000247064</v>
          </cell>
          <cell r="DC10">
            <v>0.12104505745640794</v>
          </cell>
          <cell r="DD10">
            <v>0.12107945192981673</v>
          </cell>
          <cell r="DE10">
            <v>0.11742553556534722</v>
          </cell>
          <cell r="DF10">
            <v>2.1179866054645013</v>
          </cell>
        </row>
        <row r="11">
          <cell r="A11" t="str">
            <v>Caffeic acid</v>
          </cell>
          <cell r="B11">
            <v>1.0742426784430745E-2</v>
          </cell>
          <cell r="C11">
            <v>6.9118230664482454E-3</v>
          </cell>
          <cell r="D11">
            <v>7.8950403650439281E-3</v>
          </cell>
          <cell r="E11">
            <v>8.5926234101222111E-3</v>
          </cell>
          <cell r="F11">
            <v>8.2441799450806465E-3</v>
          </cell>
          <cell r="G11">
            <v>4.0608057160740002E-3</v>
          </cell>
          <cell r="H11">
            <v>9.3727773623907187E-3</v>
          </cell>
          <cell r="I11">
            <v>5.0814027129562631E-3</v>
          </cell>
          <cell r="J11">
            <v>1.8050992838066428E-3</v>
          </cell>
          <cell r="K11">
            <v>3.1611438358421498E-3</v>
          </cell>
          <cell r="L11">
            <v>7.4179747638302394E-3</v>
          </cell>
          <cell r="M11">
            <v>3.5256248895079887E-3</v>
          </cell>
          <cell r="N11">
            <v>8.3402254296720355E-3</v>
          </cell>
          <cell r="O11">
            <v>4.0553808338924168E-3</v>
          </cell>
          <cell r="P11">
            <v>7.1217484298696119E-3</v>
          </cell>
          <cell r="Q11">
            <v>6.7634382793075199E-3</v>
          </cell>
          <cell r="R11">
            <v>2.4694418343298406E-3</v>
          </cell>
          <cell r="S11">
            <v>7.0109630496002946E-3</v>
          </cell>
          <cell r="T11">
            <v>7.5204546360404202E-3</v>
          </cell>
          <cell r="U11">
            <v>7.5803420149218176E-3</v>
          </cell>
          <cell r="V11">
            <v>4.5415011940845513E-3</v>
          </cell>
          <cell r="W11">
            <v>6.5575355646474431E-3</v>
          </cell>
          <cell r="X11">
            <v>3.1193525919947936E-3</v>
          </cell>
          <cell r="Y11">
            <v>1.4742000101800531E-3</v>
          </cell>
          <cell r="Z11">
            <v>2.3711118345874083E-3</v>
          </cell>
          <cell r="AA11">
            <v>3.1650282677436075E-3</v>
          </cell>
          <cell r="AB11">
            <v>3.2187560285776842E-3</v>
          </cell>
          <cell r="AC11">
            <v>3.3740482694296298E-3</v>
          </cell>
          <cell r="AD11">
            <v>4.5599568057817274E-3</v>
          </cell>
          <cell r="AE11">
            <v>2.5218887540580065E-3</v>
          </cell>
          <cell r="AF11">
            <v>2.6565317599178697E-3</v>
          </cell>
          <cell r="AG11">
            <v>2.8264374273277537E-3</v>
          </cell>
          <cell r="AH11">
            <v>2.5702682510412618E-4</v>
          </cell>
          <cell r="AI11">
            <v>2.2512490387291161E-3</v>
          </cell>
          <cell r="AJ11">
            <v>3.0267435606119277E-3</v>
          </cell>
          <cell r="AK11">
            <v>2.5753895722940086E-3</v>
          </cell>
          <cell r="AL11">
            <v>8.9539267665197757E-3</v>
          </cell>
          <cell r="AM11">
            <v>8.163842147054873E-4</v>
          </cell>
          <cell r="AN11">
            <v>1.0151481432999962E-3</v>
          </cell>
          <cell r="AO11">
            <v>1.8814812731080359E-3</v>
          </cell>
          <cell r="AP11">
            <v>1.6390260865582255E-3</v>
          </cell>
          <cell r="AQ11">
            <v>1.1477651042959944E-3</v>
          </cell>
          <cell r="AR11">
            <v>1.012418394693046E-3</v>
          </cell>
          <cell r="AS11">
            <v>5.821814599447074E-4</v>
          </cell>
          <cell r="AT11">
            <v>1.8274017316151723E-3</v>
          </cell>
          <cell r="AU11">
            <v>1.2035297000719293E-3</v>
          </cell>
          <cell r="AV11">
            <v>1.184507411739096E-3</v>
          </cell>
          <cell r="AW11">
            <v>1.7768733908234058E-3</v>
          </cell>
          <cell r="AX11">
            <v>5.2170254548020384E-4</v>
          </cell>
          <cell r="AY11">
            <v>7.3311966921747252E-4</v>
          </cell>
          <cell r="AZ11">
            <v>1.0390767828531422E-3</v>
          </cell>
          <cell r="BA11">
            <v>9.2629337012441245E-3</v>
          </cell>
          <cell r="BB11">
            <v>4.3037775068040353E-3</v>
          </cell>
          <cell r="BC11">
            <v>2.3185950565498014E-3</v>
          </cell>
          <cell r="BD11">
            <v>9.3437282486341134E-4</v>
          </cell>
          <cell r="BE11">
            <v>2.0065190229103724E-3</v>
          </cell>
          <cell r="BF11">
            <v>3.8283655995650103E-3</v>
          </cell>
          <cell r="BG11">
            <v>5.0561327289440202E-3</v>
          </cell>
          <cell r="BH11">
            <v>2.1342672902471241E-3</v>
          </cell>
          <cell r="BI11">
            <v>7.826196274900726E-3</v>
          </cell>
          <cell r="BJ11">
            <v>2.248364902604523E-2</v>
          </cell>
          <cell r="BK11">
            <v>5.8106269548446679E-3</v>
          </cell>
          <cell r="BL11">
            <v>2.9037336597311789E-3</v>
          </cell>
          <cell r="BM11">
            <v>0</v>
          </cell>
          <cell r="BN11">
            <v>0</v>
          </cell>
          <cell r="BO11">
            <v>2.2443344883139918E-3</v>
          </cell>
          <cell r="BP11">
            <v>3.9671768889639157E-3</v>
          </cell>
          <cell r="BQ11">
            <v>4.6996813120955732E-3</v>
          </cell>
          <cell r="BR11">
            <v>8.2732160671628759E-3</v>
          </cell>
          <cell r="BS11">
            <v>5.3494125726684869E-3</v>
          </cell>
          <cell r="BT11">
            <v>9.1609787071821377E-3</v>
          </cell>
          <cell r="BU11">
            <v>3.8031975238176094E-3</v>
          </cell>
          <cell r="BV11">
            <v>5.7598726458839861E-3</v>
          </cell>
          <cell r="BW11">
            <v>7.5163610724206832E-3</v>
          </cell>
          <cell r="BX11">
            <v>1.772247773005688E-2</v>
          </cell>
          <cell r="BY11">
            <v>2.6146270671993763E-3</v>
          </cell>
          <cell r="BZ11">
            <v>0.1653709373640608</v>
          </cell>
          <cell r="CA11">
            <v>0.12011530688035656</v>
          </cell>
          <cell r="CB11">
            <v>1.4148699846299438E-3</v>
          </cell>
          <cell r="CC11">
            <v>7.8548607586521671E-3</v>
          </cell>
          <cell r="CD11">
            <v>1.8005979536618703E-3</v>
          </cell>
          <cell r="CE11">
            <v>2.5390113449389046E-3</v>
          </cell>
          <cell r="CF11">
            <v>1.5430742192325297E-3</v>
          </cell>
          <cell r="CG11">
            <v>2.6671997102709313E-2</v>
          </cell>
          <cell r="CH11">
            <v>6.1769829374088195E-4</v>
          </cell>
          <cell r="CI11">
            <v>4.9712142274842509E-3</v>
          </cell>
          <cell r="CJ11">
            <v>2.4400485267085863E-3</v>
          </cell>
          <cell r="CK11">
            <v>1.9286072696674652E-3</v>
          </cell>
          <cell r="CL11">
            <v>1.7110280652707869E-3</v>
          </cell>
          <cell r="CM11">
            <v>1.8612083893517805E-3</v>
          </cell>
          <cell r="CN11">
            <v>9.7050887428129212E-3</v>
          </cell>
          <cell r="CO11">
            <v>1.3119260378134131E-3</v>
          </cell>
          <cell r="CP11">
            <v>1.4899969770120281E-3</v>
          </cell>
          <cell r="CQ11">
            <v>1.1062246140658137E-3</v>
          </cell>
          <cell r="CR11">
            <v>8.9086810821003225E-4</v>
          </cell>
          <cell r="CS11">
            <v>2.3043171079049217E-3</v>
          </cell>
          <cell r="CT11">
            <v>1.5571467738842021E-3</v>
          </cell>
          <cell r="CU11">
            <v>4.1082958340991713E-3</v>
          </cell>
          <cell r="CV11">
            <v>3.4090258460915007E-3</v>
          </cell>
          <cell r="CW11">
            <v>3.9427411002114013E-3</v>
          </cell>
          <cell r="CX11">
            <v>3.5587720892529405E-3</v>
          </cell>
          <cell r="CY11">
            <v>3.506349303218124E-3</v>
          </cell>
          <cell r="CZ11">
            <v>3.5872500966277576E-3</v>
          </cell>
          <cell r="DA11">
            <v>3.371748341376826E-3</v>
          </cell>
          <cell r="DB11">
            <v>3.4074322408110683E-3</v>
          </cell>
          <cell r="DC11">
            <v>3.385203715265401E-3</v>
          </cell>
          <cell r="DD11">
            <v>3.4871805675194502E-3</v>
          </cell>
          <cell r="DE11">
            <v>3.3891297984315347E-3</v>
          </cell>
          <cell r="DF11">
            <v>2.4410749623595391</v>
          </cell>
        </row>
        <row r="12">
          <cell r="A12" t="str">
            <v>Morin</v>
          </cell>
          <cell r="B12">
            <v>0.19453140011752981</v>
          </cell>
          <cell r="C12">
            <v>0.19719612980979664</v>
          </cell>
          <cell r="D12">
            <v>0.12671300913278796</v>
          </cell>
          <cell r="E12">
            <v>0.18134381651602524</v>
          </cell>
          <cell r="F12">
            <v>0.18127947345471829</v>
          </cell>
          <cell r="G12">
            <v>0.26683693133293296</v>
          </cell>
          <cell r="H12">
            <v>0.24337087437818294</v>
          </cell>
          <cell r="I12">
            <v>0.25052309447808635</v>
          </cell>
          <cell r="J12">
            <v>0.25397978656210968</v>
          </cell>
          <cell r="K12">
            <v>0.25450122651791135</v>
          </cell>
          <cell r="L12">
            <v>0.20695943708819042</v>
          </cell>
          <cell r="M12">
            <v>0.16895365203974866</v>
          </cell>
          <cell r="N12">
            <v>0.15034801676103177</v>
          </cell>
          <cell r="O12">
            <v>0.15656675894737104</v>
          </cell>
          <cell r="P12">
            <v>0.18427710302423292</v>
          </cell>
          <cell r="Q12">
            <v>0.21483393983993812</v>
          </cell>
          <cell r="R12">
            <v>0.27980701457375762</v>
          </cell>
          <cell r="S12">
            <v>0.28759852867694352</v>
          </cell>
          <cell r="T12">
            <v>0.24528382473365667</v>
          </cell>
          <cell r="U12">
            <v>0.14745803182414524</v>
          </cell>
          <cell r="V12">
            <v>0.21663617335553872</v>
          </cell>
          <cell r="W12">
            <v>0.20607263483276012</v>
          </cell>
          <cell r="X12">
            <v>0.1869792577443794</v>
          </cell>
          <cell r="Y12">
            <v>0.15499086718916069</v>
          </cell>
          <cell r="Z12">
            <v>0.19525512389063915</v>
          </cell>
          <cell r="AA12">
            <v>0.19043163308041117</v>
          </cell>
          <cell r="AB12">
            <v>0.21102070393711433</v>
          </cell>
          <cell r="AC12">
            <v>0.17568578376801033</v>
          </cell>
          <cell r="AD12">
            <v>0.15831649993706667</v>
          </cell>
          <cell r="AE12">
            <v>0.18886158315601925</v>
          </cell>
          <cell r="AF12">
            <v>0.11224057718394095</v>
          </cell>
          <cell r="AG12">
            <v>0.14358608257194275</v>
          </cell>
          <cell r="AH12">
            <v>8.6424589691242268E-2</v>
          </cell>
          <cell r="AI12">
            <v>8.5057672667841838E-2</v>
          </cell>
          <cell r="AJ12">
            <v>7.1730954183221632E-2</v>
          </cell>
          <cell r="AK12">
            <v>0.16594388030050483</v>
          </cell>
          <cell r="AL12">
            <v>0.19839535562720712</v>
          </cell>
          <cell r="AM12">
            <v>0.20481382928625816</v>
          </cell>
          <cell r="AN12">
            <v>0.16154012825246211</v>
          </cell>
          <cell r="AO12">
            <v>0.15232699378878203</v>
          </cell>
          <cell r="AP12">
            <v>9.2060964579659774E-2</v>
          </cell>
          <cell r="AQ12">
            <v>0.10284055905409759</v>
          </cell>
          <cell r="AR12">
            <v>0.10589010618948555</v>
          </cell>
          <cell r="AS12">
            <v>0.10159980510970729</v>
          </cell>
          <cell r="AT12">
            <v>9.3767701265948633E-2</v>
          </cell>
          <cell r="AU12">
            <v>0.1105222137554136</v>
          </cell>
          <cell r="AV12">
            <v>0.11169521161999228</v>
          </cell>
          <cell r="AW12">
            <v>0.13154278870606262</v>
          </cell>
          <cell r="AX12">
            <v>8.2752303345684869E-2</v>
          </cell>
          <cell r="AY12">
            <v>8.1840656821161317E-2</v>
          </cell>
          <cell r="AZ12">
            <v>0.10308201183702649</v>
          </cell>
          <cell r="BA12">
            <v>0.20435432281109572</v>
          </cell>
          <cell r="BB12">
            <v>0.21708360081603564</v>
          </cell>
          <cell r="BC12">
            <v>0.1583635562169339</v>
          </cell>
          <cell r="BD12">
            <v>0.17153458195857071</v>
          </cell>
          <cell r="BE12">
            <v>0.27826053788904792</v>
          </cell>
          <cell r="BF12">
            <v>0.22587592892383732</v>
          </cell>
          <cell r="BG12">
            <v>0.29486166097976396</v>
          </cell>
          <cell r="BH12">
            <v>0.29894366659420502</v>
          </cell>
          <cell r="BI12">
            <v>0.25960619954298914</v>
          </cell>
          <cell r="BJ12">
            <v>0.18779951986954968</v>
          </cell>
          <cell r="BK12">
            <v>0.19461315877058138</v>
          </cell>
          <cell r="BL12">
            <v>0.23248375458012513</v>
          </cell>
          <cell r="BM12">
            <v>0.18103399139347801</v>
          </cell>
          <cell r="BN12">
            <v>0.25174546789305358</v>
          </cell>
          <cell r="BO12">
            <v>0.25669741083399272</v>
          </cell>
          <cell r="BP12">
            <v>0.19574951455651146</v>
          </cell>
          <cell r="BQ12">
            <v>0.27952536294241132</v>
          </cell>
          <cell r="BR12">
            <v>0.20975115268834837</v>
          </cell>
          <cell r="BS12">
            <v>0.23924496573846163</v>
          </cell>
          <cell r="BT12">
            <v>0.30213676315428384</v>
          </cell>
          <cell r="BU12">
            <v>0.20172770843680676</v>
          </cell>
          <cell r="BV12">
            <v>0.24317378749790633</v>
          </cell>
          <cell r="BW12">
            <v>0.2761432789900613</v>
          </cell>
          <cell r="BX12">
            <v>0.17366418324932328</v>
          </cell>
          <cell r="BY12">
            <v>0.20224841052931264</v>
          </cell>
          <cell r="BZ12">
            <v>0.16758287332625069</v>
          </cell>
          <cell r="CA12">
            <v>0.17793235497847598</v>
          </cell>
          <cell r="CB12">
            <v>0.24519612729633827</v>
          </cell>
          <cell r="CC12">
            <v>0.21812762253830414</v>
          </cell>
          <cell r="CD12">
            <v>7.7106415737222433E-2</v>
          </cell>
          <cell r="CE12">
            <v>7.6539415931134891E-2</v>
          </cell>
          <cell r="CF12">
            <v>8.761555227057595E-2</v>
          </cell>
          <cell r="CG12">
            <v>0.14393691966761882</v>
          </cell>
          <cell r="CH12">
            <v>7.4256886348201184E-2</v>
          </cell>
          <cell r="CI12">
            <v>8.3730554302402782E-2</v>
          </cell>
          <cell r="CJ12">
            <v>0.10767443018937808</v>
          </cell>
          <cell r="CK12">
            <v>0.10405797586713604</v>
          </cell>
          <cell r="CL12">
            <v>7.1204464656951086E-2</v>
          </cell>
          <cell r="CM12">
            <v>8.9778538417208259E-2</v>
          </cell>
          <cell r="CN12">
            <v>7.8083490782451304E-2</v>
          </cell>
          <cell r="CO12">
            <v>9.3838106891632481E-2</v>
          </cell>
          <cell r="CP12">
            <v>8.1242817422362862E-2</v>
          </cell>
          <cell r="CQ12">
            <v>0.10660241891953399</v>
          </cell>
          <cell r="CR12">
            <v>7.104982092803401E-2</v>
          </cell>
          <cell r="CS12">
            <v>7.9493972051355596E-2</v>
          </cell>
          <cell r="CT12">
            <v>8.1539610669015619E-2</v>
          </cell>
          <cell r="CU12">
            <v>7.4707365824409289E-2</v>
          </cell>
          <cell r="CV12">
            <v>6.6303300598741829E-2</v>
          </cell>
          <cell r="CW12">
            <v>6.9653550015804894E-2</v>
          </cell>
          <cell r="CX12">
            <v>0.12060848145433967</v>
          </cell>
          <cell r="CY12">
            <v>0.12645674518726843</v>
          </cell>
          <cell r="CZ12">
            <v>0.12821868597221917</v>
          </cell>
          <cell r="DA12">
            <v>0.12657889356181279</v>
          </cell>
          <cell r="DB12">
            <v>0.12950088471378834</v>
          </cell>
          <cell r="DC12">
            <v>0.12588164888396469</v>
          </cell>
          <cell r="DD12">
            <v>0.13150390790672617</v>
          </cell>
          <cell r="DE12">
            <v>0.12921965472622016</v>
          </cell>
          <cell r="DF12">
            <v>2.5731079616915631</v>
          </cell>
        </row>
        <row r="13">
          <cell r="A13" t="str">
            <v>Phloretin</v>
          </cell>
          <cell r="B13">
            <v>3.4607882505746E-4</v>
          </cell>
          <cell r="C13">
            <v>3.1346947288235245E-4</v>
          </cell>
          <cell r="D13">
            <v>2.247685082290765E-4</v>
          </cell>
          <cell r="E13">
            <v>4.5741382697706457E-4</v>
          </cell>
          <cell r="F13">
            <v>4.6399449225336509E-4</v>
          </cell>
          <cell r="G13">
            <v>5.331323581323923E-4</v>
          </cell>
          <cell r="H13">
            <v>5.4039391423215647E-4</v>
          </cell>
          <cell r="I13">
            <v>6.7440637520646887E-4</v>
          </cell>
          <cell r="J13">
            <v>1.0951858878269739E-3</v>
          </cell>
          <cell r="K13">
            <v>1.2284567216376745E-3</v>
          </cell>
          <cell r="L13">
            <v>2.8132430185891759E-4</v>
          </cell>
          <cell r="M13">
            <v>7.7612071798476099E-4</v>
          </cell>
          <cell r="N13">
            <v>5.8773358677094315E-4</v>
          </cell>
          <cell r="O13">
            <v>9.3172347511168174E-4</v>
          </cell>
          <cell r="P13">
            <v>7.2539938702542196E-4</v>
          </cell>
          <cell r="Q13">
            <v>7.3396182570990083E-4</v>
          </cell>
          <cell r="R13">
            <v>7.8574505418873978E-4</v>
          </cell>
          <cell r="S13">
            <v>1.6359795946648678E-3</v>
          </cell>
          <cell r="T13">
            <v>1.0447954956075622E-3</v>
          </cell>
          <cell r="U13">
            <v>1.6264195368192345E-3</v>
          </cell>
          <cell r="V13">
            <v>3.7421329132678025E-3</v>
          </cell>
          <cell r="W13">
            <v>9.2730646336859472E-4</v>
          </cell>
          <cell r="X13">
            <v>3.5168134423200726E-3</v>
          </cell>
          <cell r="Y13">
            <v>1.4241621073832977E-3</v>
          </cell>
          <cell r="Z13">
            <v>3.337679815958399E-3</v>
          </cell>
          <cell r="AA13">
            <v>4.1796634184901099E-3</v>
          </cell>
          <cell r="AB13">
            <v>3.246480862816471E-3</v>
          </cell>
          <cell r="AC13">
            <v>4.9457833915118798E-3</v>
          </cell>
          <cell r="AD13">
            <v>2.8555498214052704E-3</v>
          </cell>
          <cell r="AE13">
            <v>3.1411987172668483E-3</v>
          </cell>
          <cell r="AF13">
            <v>6.3049219377363328E-4</v>
          </cell>
          <cell r="AG13">
            <v>6.2974287150080108E-4</v>
          </cell>
          <cell r="AH13">
            <v>6.4730870143483294E-4</v>
          </cell>
          <cell r="AI13">
            <v>1.0337816532583937E-3</v>
          </cell>
          <cell r="AJ13">
            <v>6.2774441447842669E-4</v>
          </cell>
          <cell r="AK13">
            <v>1.7702707002022389E-3</v>
          </cell>
          <cell r="AL13">
            <v>8.5539951290840213E-4</v>
          </cell>
          <cell r="AM13">
            <v>1.6291356530610439E-3</v>
          </cell>
          <cell r="AN13">
            <v>1.5123645916592736E-3</v>
          </cell>
          <cell r="AO13">
            <v>8.3827928404848356E-4</v>
          </cell>
          <cell r="AP13">
            <v>7.3480495983014682E-4</v>
          </cell>
          <cell r="AQ13">
            <v>9.10573148927407E-4</v>
          </cell>
          <cell r="AR13">
            <v>1.1173408479283789E-3</v>
          </cell>
          <cell r="AS13">
            <v>1.1478683583417972E-3</v>
          </cell>
          <cell r="AT13">
            <v>5.8132586596090113E-4</v>
          </cell>
          <cell r="AU13">
            <v>1.0437838364350854E-3</v>
          </cell>
          <cell r="AV13">
            <v>1.3213045808440655E-3</v>
          </cell>
          <cell r="AW13">
            <v>9.9946892635789175E-4</v>
          </cell>
          <cell r="AX13">
            <v>1.4634853862452769E-3</v>
          </cell>
          <cell r="AY13">
            <v>1.3785298334726454E-3</v>
          </cell>
          <cell r="AZ13">
            <v>1.3547878137771185E-3</v>
          </cell>
          <cell r="BA13">
            <v>2.895230438489463E-3</v>
          </cell>
          <cell r="BB13">
            <v>1.7289392735456116E-3</v>
          </cell>
          <cell r="BC13">
            <v>1.6634613796156373E-3</v>
          </cell>
          <cell r="BD13">
            <v>2.7932258173923416E-3</v>
          </cell>
          <cell r="BE13">
            <v>2.362832685401764E-3</v>
          </cell>
          <cell r="BF13">
            <v>1.0443096225610851E-3</v>
          </cell>
          <cell r="BG13">
            <v>9.0556274306343798E-4</v>
          </cell>
          <cell r="BH13">
            <v>2.5941208691649185E-3</v>
          </cell>
          <cell r="BI13">
            <v>1.4855176222029808E-3</v>
          </cell>
          <cell r="BJ13">
            <v>4.4414062184197899E-4</v>
          </cell>
          <cell r="BK13">
            <v>6.8089922511030442E-4</v>
          </cell>
          <cell r="BL13">
            <v>1.0580483370797355E-3</v>
          </cell>
          <cell r="BM13">
            <v>1.1657399684059807E-3</v>
          </cell>
          <cell r="BN13">
            <v>1.9409343015093668E-3</v>
          </cell>
          <cell r="BO13">
            <v>3.6849269100081993E-3</v>
          </cell>
          <cell r="BP13">
            <v>2.0407105802130497E-3</v>
          </cell>
          <cell r="BQ13">
            <v>2.1988835348536041E-3</v>
          </cell>
          <cell r="BR13">
            <v>1.6563280354190755E-3</v>
          </cell>
          <cell r="BS13">
            <v>2.4086749466750807E-3</v>
          </cell>
          <cell r="BT13">
            <v>4.2608954334939194E-3</v>
          </cell>
          <cell r="BU13">
            <v>1.6568922607431672E-3</v>
          </cell>
          <cell r="BV13">
            <v>3.4935650331506581E-3</v>
          </cell>
          <cell r="BW13">
            <v>4.7109700062019184E-3</v>
          </cell>
          <cell r="BX13">
            <v>9.6173396574001453E-4</v>
          </cell>
          <cell r="BY13">
            <v>3.4158174688442597E-3</v>
          </cell>
          <cell r="BZ13">
            <v>2.1329632500168135E-3</v>
          </cell>
          <cell r="CA13">
            <v>2.1395963980676167E-3</v>
          </cell>
          <cell r="CB13">
            <v>4.963469575431736E-3</v>
          </cell>
          <cell r="CC13">
            <v>5.5955860428488101E-3</v>
          </cell>
          <cell r="CD13">
            <v>7.1871447764950769E-4</v>
          </cell>
          <cell r="CE13">
            <v>4.5970323900973274E-4</v>
          </cell>
          <cell r="CF13">
            <v>7.4502961839272366E-4</v>
          </cell>
          <cell r="CG13">
            <v>2.1637221138212847E-3</v>
          </cell>
          <cell r="CH13">
            <v>7.7815410595380376E-4</v>
          </cell>
          <cell r="CI13">
            <v>1.3357430567444407E-3</v>
          </cell>
          <cell r="CJ13">
            <v>1.0390811992318141E-3</v>
          </cell>
          <cell r="CK13">
            <v>7.2873665719881773E-4</v>
          </cell>
          <cell r="CL13">
            <v>4.9367793502913798E-4</v>
          </cell>
          <cell r="CM13">
            <v>6.6405464645787646E-4</v>
          </cell>
          <cell r="CN13">
            <v>5.7197090848587864E-4</v>
          </cell>
          <cell r="CO13">
            <v>1.6602468421086799E-3</v>
          </cell>
          <cell r="CP13">
            <v>9.5618081410590047E-4</v>
          </cell>
          <cell r="CQ13">
            <v>1.6853937654053258E-3</v>
          </cell>
          <cell r="CR13">
            <v>8.1748748275076405E-4</v>
          </cell>
          <cell r="CS13">
            <v>1.4912307731882605E-3</v>
          </cell>
          <cell r="CT13">
            <v>1.4319416574601884E-3</v>
          </cell>
          <cell r="CU13">
            <v>9.529604473049872E-4</v>
          </cell>
          <cell r="CV13">
            <v>9.5514629732821644E-4</v>
          </cell>
          <cell r="CW13">
            <v>8.2571439508915721E-4</v>
          </cell>
          <cell r="CX13">
            <v>1.2330614907603743E-3</v>
          </cell>
          <cell r="CY13">
            <v>1.1250002667771179E-3</v>
          </cell>
          <cell r="CZ13">
            <v>1.1723653245607746E-3</v>
          </cell>
          <cell r="DA13">
            <v>1.1628680886709981E-3</v>
          </cell>
          <cell r="DB13">
            <v>1.1671421398889144E-3</v>
          </cell>
          <cell r="DC13">
            <v>1.1549418298984972E-3</v>
          </cell>
          <cell r="DD13">
            <v>1.1485658713897211E-3</v>
          </cell>
          <cell r="DE13">
            <v>1.1541229467797798E-3</v>
          </cell>
          <cell r="DF13">
            <v>2.6729091421383058</v>
          </cell>
        </row>
        <row r="14">
          <cell r="A14" t="str">
            <v>p-Coumaric</v>
          </cell>
          <cell r="B14">
            <v>0.11087721644395687</v>
          </cell>
          <cell r="C14">
            <v>0.10275442530401514</v>
          </cell>
          <cell r="D14">
            <v>7.9972531988265136E-2</v>
          </cell>
          <cell r="E14">
            <v>0.10749711790676784</v>
          </cell>
          <cell r="F14">
            <v>0.1149669404938253</v>
          </cell>
          <cell r="G14">
            <v>7.9946869062033965E-2</v>
          </cell>
          <cell r="H14">
            <v>7.9574007328855653E-2</v>
          </cell>
          <cell r="I14">
            <v>5.851981155315935E-2</v>
          </cell>
          <cell r="J14">
            <v>6.0773448888711855E-2</v>
          </cell>
          <cell r="K14">
            <v>5.0619529712821264E-2</v>
          </cell>
          <cell r="L14">
            <v>4.3305940022894632E-2</v>
          </cell>
          <cell r="M14">
            <v>5.5196111876043945E-2</v>
          </cell>
          <cell r="N14">
            <v>0.12204474522237346</v>
          </cell>
          <cell r="O14">
            <v>8.0929618036724063E-2</v>
          </cell>
          <cell r="P14">
            <v>5.804076088934107E-2</v>
          </cell>
          <cell r="Q14">
            <v>9.7196366663367034E-2</v>
          </cell>
          <cell r="R14">
            <v>1.7225843356702356E-2</v>
          </cell>
          <cell r="S14">
            <v>6.6205956497138493E-2</v>
          </cell>
          <cell r="T14">
            <v>6.0505752288498742E-2</v>
          </cell>
          <cell r="U14">
            <v>7.1604640553848548E-2</v>
          </cell>
          <cell r="V14">
            <v>4.8669796555583622E-2</v>
          </cell>
          <cell r="W14">
            <v>0.19285789530564854</v>
          </cell>
          <cell r="X14">
            <v>7.1575608971868931E-2</v>
          </cell>
          <cell r="Y14">
            <v>4.8995361653013145E-2</v>
          </cell>
          <cell r="Z14">
            <v>6.8207600190768825E-2</v>
          </cell>
          <cell r="AA14">
            <v>0.1095833420411451</v>
          </cell>
          <cell r="AB14">
            <v>9.7201781501264475E-2</v>
          </cell>
          <cell r="AC14">
            <v>0.1073733494487018</v>
          </cell>
          <cell r="AD14">
            <v>0.22944263059406375</v>
          </cell>
          <cell r="AE14">
            <v>0.15531927401372425</v>
          </cell>
          <cell r="AF14">
            <v>4.4085586143808822E-2</v>
          </cell>
          <cell r="AG14">
            <v>5.0032689542823174E-2</v>
          </cell>
          <cell r="AH14">
            <v>3.3989504479917658E-2</v>
          </cell>
          <cell r="AI14">
            <v>5.0147742807186688E-2</v>
          </cell>
          <cell r="AJ14">
            <v>7.0161314364001054E-2</v>
          </cell>
          <cell r="AK14">
            <v>0.11861910334846915</v>
          </cell>
          <cell r="AL14">
            <v>0.14060227737881623</v>
          </cell>
          <cell r="AM14">
            <v>4.3399438273217537E-2</v>
          </cell>
          <cell r="AN14">
            <v>1.8030491947955689E-2</v>
          </cell>
          <cell r="AO14">
            <v>4.7188581364655001E-2</v>
          </cell>
          <cell r="AP14">
            <v>4.0860367630783143E-2</v>
          </cell>
          <cell r="AQ14">
            <v>1.8412779717094284E-2</v>
          </cell>
          <cell r="AR14">
            <v>2.2566538600553739E-2</v>
          </cell>
          <cell r="AS14">
            <v>1.8793153667968243E-2</v>
          </cell>
          <cell r="AT14">
            <v>8.6102610346750957E-2</v>
          </cell>
          <cell r="AU14">
            <v>2.7498790943935685E-2</v>
          </cell>
          <cell r="AV14">
            <v>1.4708970119319832E-2</v>
          </cell>
          <cell r="AW14">
            <v>5.5430383073213879E-2</v>
          </cell>
          <cell r="AX14">
            <v>1.2637090118655717E-2</v>
          </cell>
          <cell r="AY14">
            <v>1.2654570073365007E-2</v>
          </cell>
          <cell r="AZ14">
            <v>1.9038342987249594E-2</v>
          </cell>
          <cell r="BA14">
            <v>1.9374765777548063E-2</v>
          </cell>
          <cell r="BB14">
            <v>2.9021335009969416E-2</v>
          </cell>
          <cell r="BC14">
            <v>3.1250485900732414E-2</v>
          </cell>
          <cell r="BD14">
            <v>3.1789584495540327E-2</v>
          </cell>
          <cell r="BE14">
            <v>7.4427601416459224E-2</v>
          </cell>
          <cell r="BF14">
            <v>0.14348671872141119</v>
          </cell>
          <cell r="BG14">
            <v>5.2947148302045964E-2</v>
          </cell>
          <cell r="BH14">
            <v>1.6003533817447176E-2</v>
          </cell>
          <cell r="BI14">
            <v>8.5398608769159945E-2</v>
          </cell>
          <cell r="BJ14">
            <v>8.0319456469419057E-2</v>
          </cell>
          <cell r="BK14">
            <v>3.898773529029155E-2</v>
          </cell>
          <cell r="BL14">
            <v>2.3155977314650637E-2</v>
          </cell>
          <cell r="BM14">
            <v>8.8059848698717844E-2</v>
          </cell>
          <cell r="BN14">
            <v>1.9988898716332398E-2</v>
          </cell>
          <cell r="BO14">
            <v>2.564144040670235E-2</v>
          </cell>
          <cell r="BP14">
            <v>2.1205042404831471E-2</v>
          </cell>
          <cell r="BQ14">
            <v>3.4112591881270124E-2</v>
          </cell>
          <cell r="BR14">
            <v>1.3669403877784874E-2</v>
          </cell>
          <cell r="BS14">
            <v>4.5334661768698513E-2</v>
          </cell>
          <cell r="BT14">
            <v>1.5672178623035826E-2</v>
          </cell>
          <cell r="BU14">
            <v>7.3217438553967616E-3</v>
          </cell>
          <cell r="BV14">
            <v>0.11048868945492837</v>
          </cell>
          <cell r="BW14">
            <v>1.5617121268552346E-2</v>
          </cell>
          <cell r="BX14">
            <v>4.073108228979521E-2</v>
          </cell>
          <cell r="BY14">
            <v>1.0055744024325613E-2</v>
          </cell>
          <cell r="BZ14">
            <v>1.0639116809211162E-2</v>
          </cell>
          <cell r="CA14">
            <v>1.1014294535195469E-2</v>
          </cell>
          <cell r="CB14">
            <v>1.9025087029486607E-2</v>
          </cell>
          <cell r="CC14">
            <v>3.0121600613545435E-2</v>
          </cell>
          <cell r="CD14">
            <v>4.3360143319448397E-3</v>
          </cell>
          <cell r="CE14">
            <v>1.9863866979221287E-3</v>
          </cell>
          <cell r="CF14">
            <v>1.5996903378649247E-2</v>
          </cell>
          <cell r="CG14">
            <v>2.7659722984710484E-2</v>
          </cell>
          <cell r="CH14">
            <v>5.4228945470120964E-3</v>
          </cell>
          <cell r="CI14">
            <v>2.2432618844415568E-3</v>
          </cell>
          <cell r="CJ14">
            <v>2.1731646601744312E-3</v>
          </cell>
          <cell r="CK14">
            <v>2.6330408277979878E-3</v>
          </cell>
          <cell r="CL14">
            <v>2.6758513841512715E-3</v>
          </cell>
          <cell r="CM14">
            <v>2.0528972508188025E-3</v>
          </cell>
          <cell r="CN14">
            <v>4.1874528488099801E-3</v>
          </cell>
          <cell r="CO14">
            <v>9.9872613262113868E-3</v>
          </cell>
          <cell r="CP14">
            <v>5.3076835506084162E-3</v>
          </cell>
          <cell r="CQ14">
            <v>6.8325125907252966E-3</v>
          </cell>
          <cell r="CR14">
            <v>1.7412741523438904E-3</v>
          </cell>
          <cell r="CS14">
            <v>3.9056153573405073E-3</v>
          </cell>
          <cell r="CT14">
            <v>3.9600932564233743E-3</v>
          </cell>
          <cell r="CU14">
            <v>2.9070911167644502E-3</v>
          </cell>
          <cell r="CV14">
            <v>3.5367713873729616E-3</v>
          </cell>
          <cell r="CW14">
            <v>2.2836108780287198E-3</v>
          </cell>
          <cell r="CX14">
            <v>1.1365006992722991E-2</v>
          </cell>
          <cell r="CY14">
            <v>1.0570156395035522E-2</v>
          </cell>
          <cell r="CZ14">
            <v>1.0843004058751273E-2</v>
          </cell>
          <cell r="DA14">
            <v>1.0605536641046069E-2</v>
          </cell>
          <cell r="DB14">
            <v>1.0900494847345081E-2</v>
          </cell>
          <cell r="DC14">
            <v>1.0423636293445676E-2</v>
          </cell>
          <cell r="DD14">
            <v>1.0805390089542566E-2</v>
          </cell>
          <cell r="DE14">
            <v>1.0584906242479864E-2</v>
          </cell>
          <cell r="DF14">
            <v>2.7166607598968828</v>
          </cell>
        </row>
        <row r="15">
          <cell r="A15" t="str">
            <v>Catechol</v>
          </cell>
          <cell r="B15">
            <v>0</v>
          </cell>
          <cell r="C15">
            <v>0</v>
          </cell>
          <cell r="D15">
            <v>3.5460865600176698E-4</v>
          </cell>
          <cell r="E15">
            <v>0</v>
          </cell>
          <cell r="F15">
            <v>0</v>
          </cell>
          <cell r="G15">
            <v>1.7179959431018596E-4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3.1729688267301628E-4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3.4208753048087632E-3</v>
          </cell>
          <cell r="Y15">
            <v>7.6541625671659372E-4</v>
          </cell>
          <cell r="Z15">
            <v>4.320914194950471E-3</v>
          </cell>
          <cell r="AA15">
            <v>2.4051667470615059E-4</v>
          </cell>
          <cell r="AB15">
            <v>1.7430019609156015E-3</v>
          </cell>
          <cell r="AC15">
            <v>0</v>
          </cell>
          <cell r="AD15">
            <v>0</v>
          </cell>
          <cell r="AE15">
            <v>0</v>
          </cell>
          <cell r="AF15">
            <v>1.933018472381732E-5</v>
          </cell>
          <cell r="AG15">
            <v>2.3508903306420656E-5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1.51452005477343E-4</v>
          </cell>
          <cell r="AM15">
            <v>5.7877176794741904E-4</v>
          </cell>
          <cell r="AN15">
            <v>3.4902373331121271E-3</v>
          </cell>
          <cell r="AO15">
            <v>1.3765031361809112E-4</v>
          </cell>
          <cell r="AP15">
            <v>4.4195950504149001E-5</v>
          </cell>
          <cell r="AQ15">
            <v>1.1312377820031218E-4</v>
          </cell>
          <cell r="AR15">
            <v>2.5652363282479939E-5</v>
          </cell>
          <cell r="AS15">
            <v>0</v>
          </cell>
          <cell r="AT15">
            <v>0</v>
          </cell>
          <cell r="AU15">
            <v>0</v>
          </cell>
          <cell r="AV15">
            <v>1.8758130892358819E-4</v>
          </cell>
          <cell r="AW15">
            <v>0</v>
          </cell>
          <cell r="AX15">
            <v>1.373706655771017E-4</v>
          </cell>
          <cell r="AY15">
            <v>2.0823044111372042E-4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8.1956445345205407E-4</v>
          </cell>
          <cell r="BV15">
            <v>0</v>
          </cell>
          <cell r="BW15">
            <v>0</v>
          </cell>
          <cell r="BX15">
            <v>0</v>
          </cell>
          <cell r="BY15">
            <v>2.057822725311134E-3</v>
          </cell>
          <cell r="BZ15">
            <v>7.6193828107435073E-4</v>
          </cell>
          <cell r="CA15">
            <v>9.9485156096004463E-4</v>
          </cell>
          <cell r="CB15">
            <v>2.1964508352564287E-3</v>
          </cell>
          <cell r="CC15">
            <v>2.6290055347238695E-4</v>
          </cell>
          <cell r="CD15">
            <v>2.4998846884849214E-3</v>
          </cell>
          <cell r="CE15">
            <v>5.4502159560671911E-3</v>
          </cell>
          <cell r="CF15">
            <v>9.1468718338966651E-5</v>
          </cell>
          <cell r="CG15">
            <v>0</v>
          </cell>
          <cell r="CH15">
            <v>3.9733478726596661E-5</v>
          </cell>
          <cell r="CI15">
            <v>2.5737063055014008E-2</v>
          </cell>
          <cell r="CJ15">
            <v>9.5498609118892346E-3</v>
          </cell>
          <cell r="CK15">
            <v>2.6036552533609974E-3</v>
          </cell>
          <cell r="CL15">
            <v>7.638644310813728E-3</v>
          </cell>
          <cell r="CM15">
            <v>6.5036249857088179E-3</v>
          </cell>
          <cell r="CN15">
            <v>1.1850061061663231E-3</v>
          </cell>
          <cell r="CO15">
            <v>1.2429444951843934E-3</v>
          </cell>
          <cell r="CP15">
            <v>1.2161756167976868E-4</v>
          </cell>
          <cell r="CQ15">
            <v>5.1213538686080884E-4</v>
          </cell>
          <cell r="CR15">
            <v>1.9172250735512051E-3</v>
          </cell>
          <cell r="CS15">
            <v>5.9740541340118618E-4</v>
          </cell>
          <cell r="CT15">
            <v>5.4153789949992423E-4</v>
          </cell>
          <cell r="CU15">
            <v>1.1659106005424648E-3</v>
          </cell>
          <cell r="CV15">
            <v>3.651795477370161E-4</v>
          </cell>
          <cell r="CW15">
            <v>1.2022122023355672E-3</v>
          </cell>
          <cell r="CX15">
            <v>1.4072356372030147E-3</v>
          </cell>
          <cell r="CY15">
            <v>1.3270681177903717E-3</v>
          </cell>
          <cell r="CZ15">
            <v>1.3630233656848555E-3</v>
          </cell>
          <cell r="DA15">
            <v>1.3322334865688307E-3</v>
          </cell>
          <cell r="DB15">
            <v>1.380452216773324E-3</v>
          </cell>
          <cell r="DC15">
            <v>1.3558302728958662E-3</v>
          </cell>
          <cell r="DD15">
            <v>1.3135164856211748E-3</v>
          </cell>
          <cell r="DE15">
            <v>1.2928989272773075E-3</v>
          </cell>
          <cell r="DF15">
            <v>2.7707504520963084</v>
          </cell>
        </row>
        <row r="16">
          <cell r="A16" t="str">
            <v>Polydatin</v>
          </cell>
          <cell r="B16">
            <v>3.2307006449194944E-4</v>
          </cell>
          <cell r="C16">
            <v>3.9710682338170005E-4</v>
          </cell>
          <cell r="D16">
            <v>1.1001998892314104E-4</v>
          </cell>
          <cell r="E16">
            <v>2.9834384823764013E-4</v>
          </cell>
          <cell r="F16">
            <v>4.3134226339946086E-4</v>
          </cell>
          <cell r="G16">
            <v>2.2266854353783367E-4</v>
          </cell>
          <cell r="H16">
            <v>2.3025590352680666E-4</v>
          </cell>
          <cell r="I16">
            <v>0</v>
          </cell>
          <cell r="J16">
            <v>0</v>
          </cell>
          <cell r="K16">
            <v>2.0697501101326344E-4</v>
          </cell>
          <cell r="L16">
            <v>3.7382397021928075E-4</v>
          </cell>
          <cell r="M16">
            <v>7.4146245009210554E-4</v>
          </cell>
          <cell r="N16">
            <v>1.1094974241070135E-3</v>
          </cell>
          <cell r="O16">
            <v>1.12829157259503E-3</v>
          </cell>
          <cell r="P16">
            <v>5.9965330717317341E-4</v>
          </cell>
          <cell r="Q16">
            <v>4.8461648532181263E-4</v>
          </cell>
          <cell r="R16">
            <v>9.0311785357987569E-5</v>
          </cell>
          <cell r="S16">
            <v>6.7547305997383428E-4</v>
          </cell>
          <cell r="T16">
            <v>4.0361603076720371E-4</v>
          </cell>
          <cell r="U16">
            <v>3.0958224675894529E-4</v>
          </cell>
          <cell r="V16">
            <v>7.392664814083801E-4</v>
          </cell>
          <cell r="W16">
            <v>7.5340411159339755E-4</v>
          </cell>
          <cell r="X16">
            <v>6.7140215089321045E-4</v>
          </cell>
          <cell r="Y16">
            <v>3.6249729346845774E-4</v>
          </cell>
          <cell r="Z16">
            <v>5.4923861843589274E-4</v>
          </cell>
          <cell r="AA16">
            <v>6.5543570463940282E-4</v>
          </cell>
          <cell r="AB16">
            <v>5.4609753235802989E-4</v>
          </cell>
          <cell r="AC16">
            <v>6.6473863248596378E-4</v>
          </cell>
          <cell r="AD16">
            <v>7.7225216025488365E-4</v>
          </cell>
          <cell r="AE16">
            <v>1.0477573725953696E-3</v>
          </cell>
          <cell r="AF16">
            <v>6.862960524776021E-4</v>
          </cell>
          <cell r="AG16">
            <v>1.5307220629193913E-3</v>
          </cell>
          <cell r="AH16">
            <v>1.4568946822102026E-3</v>
          </cell>
          <cell r="AI16">
            <v>1.7362208723166002E-3</v>
          </cell>
          <cell r="AJ16">
            <v>2.4952172275611948E-3</v>
          </cell>
          <cell r="AK16">
            <v>3.1577929451729195E-3</v>
          </cell>
          <cell r="AL16">
            <v>1.6810000702388347E-3</v>
          </cell>
          <cell r="AM16">
            <v>1.5907451732018265E-3</v>
          </cell>
          <cell r="AN16">
            <v>1.0286881038956432E-3</v>
          </cell>
          <cell r="AO16">
            <v>1.5003958688729056E-3</v>
          </cell>
          <cell r="AP16">
            <v>1.234534945871677E-3</v>
          </cell>
          <cell r="AQ16">
            <v>1.1420464600904688E-3</v>
          </cell>
          <cell r="AR16">
            <v>1.0552139559390273E-3</v>
          </cell>
          <cell r="AS16">
            <v>1.2366185113676564E-3</v>
          </cell>
          <cell r="AT16">
            <v>1.7516430913405339E-3</v>
          </cell>
          <cell r="AU16">
            <v>1.2768938335099797E-3</v>
          </cell>
          <cell r="AV16">
            <v>1.1151373119615644E-3</v>
          </cell>
          <cell r="AW16">
            <v>1.7866038074613351E-3</v>
          </cell>
          <cell r="AX16">
            <v>1.0295327207415876E-3</v>
          </cell>
          <cell r="AY16">
            <v>1.0032484479906715E-3</v>
          </cell>
          <cell r="AZ16">
            <v>1.6978279274945768E-4</v>
          </cell>
          <cell r="BA16">
            <v>4.452426059134842E-4</v>
          </cell>
          <cell r="BB16">
            <v>3.6228334760078699E-4</v>
          </cell>
          <cell r="BC16">
            <v>2.5317519148850963E-4</v>
          </cell>
          <cell r="BD16">
            <v>2.5916487776218503E-4</v>
          </cell>
          <cell r="BE16">
            <v>1.6309227505250439E-4</v>
          </cell>
          <cell r="BF16">
            <v>1.0617026683026986E-4</v>
          </cell>
          <cell r="BG16">
            <v>9.9194201651447072E-5</v>
          </cell>
          <cell r="BH16">
            <v>1.2935953114524615E-4</v>
          </cell>
          <cell r="BI16">
            <v>4.3773743380591762E-4</v>
          </cell>
          <cell r="BJ16">
            <v>7.5469718036858522E-4</v>
          </cell>
          <cell r="BK16">
            <v>1.0322602763234157E-3</v>
          </cell>
          <cell r="BL16">
            <v>7.1818652819211331E-4</v>
          </cell>
          <cell r="BM16">
            <v>9.6061088173362446E-4</v>
          </cell>
          <cell r="BN16">
            <v>3.3105814774977846E-4</v>
          </cell>
          <cell r="BO16">
            <v>3.7033697979029986E-4</v>
          </cell>
          <cell r="BP16">
            <v>1.9858431584707272E-4</v>
          </cell>
          <cell r="BQ16">
            <v>1.7267118895103101E-4</v>
          </cell>
          <cell r="BR16">
            <v>1.7118273958639915E-4</v>
          </cell>
          <cell r="BS16">
            <v>2.6994914222682235E-4</v>
          </cell>
          <cell r="BT16">
            <v>1.1278753544176603E-3</v>
          </cell>
          <cell r="BU16">
            <v>2.2854511541962888E-4</v>
          </cell>
          <cell r="BV16">
            <v>6.3135505356521314E-4</v>
          </cell>
          <cell r="BW16">
            <v>1.1504625837026022E-3</v>
          </cell>
          <cell r="BX16">
            <v>1.0033508887878936E-3</v>
          </cell>
          <cell r="BY16">
            <v>4.4973733019648384E-4</v>
          </cell>
          <cell r="BZ16">
            <v>3.2642218533904255E-4</v>
          </cell>
          <cell r="CA16">
            <v>3.6728160190430511E-4</v>
          </cell>
          <cell r="CB16">
            <v>4.5105703933094127E-4</v>
          </cell>
          <cell r="CC16">
            <v>3.5925490956612222E-4</v>
          </cell>
          <cell r="CD16">
            <v>8.2785876318466553E-4</v>
          </cell>
          <cell r="CE16">
            <v>7.5019344668610078E-4</v>
          </cell>
          <cell r="CF16">
            <v>8.3864016247823408E-4</v>
          </cell>
          <cell r="CG16">
            <v>1.1574619587552989E-3</v>
          </cell>
          <cell r="CH16">
            <v>7.5198614532491818E-4</v>
          </cell>
          <cell r="CI16">
            <v>6.6971857990628209E-4</v>
          </cell>
          <cell r="CJ16">
            <v>8.1488704478866988E-4</v>
          </cell>
          <cell r="CK16">
            <v>8.2226584765507057E-4</v>
          </cell>
          <cell r="CL16">
            <v>6.9614621553690389E-4</v>
          </cell>
          <cell r="CM16">
            <v>7.0132991316996997E-4</v>
          </cell>
          <cell r="CN16">
            <v>8.7096022752818699E-4</v>
          </cell>
          <cell r="CO16">
            <v>8.150394215389906E-4</v>
          </cell>
          <cell r="CP16">
            <v>5.8681869012714685E-4</v>
          </cell>
          <cell r="CQ16">
            <v>9.7153751385864375E-4</v>
          </cell>
          <cell r="CR16">
            <v>7.5050719108012511E-4</v>
          </cell>
          <cell r="CS16">
            <v>9.6676282041625351E-4</v>
          </cell>
          <cell r="CT16">
            <v>1.005778195253931E-3</v>
          </cell>
          <cell r="CU16">
            <v>7.7854779173909571E-4</v>
          </cell>
          <cell r="CV16">
            <v>4.3595454074260711E-4</v>
          </cell>
          <cell r="CW16">
            <v>6.5068832500953758E-4</v>
          </cell>
          <cell r="CX16">
            <v>5.7518187915854189E-4</v>
          </cell>
          <cell r="CY16">
            <v>5.4624261796531906E-4</v>
          </cell>
          <cell r="CZ16">
            <v>5.6700678373575392E-4</v>
          </cell>
          <cell r="DA16">
            <v>5.5262854461742808E-4</v>
          </cell>
          <cell r="DB16">
            <v>5.5739286682552236E-4</v>
          </cell>
          <cell r="DC16">
            <v>5.3724823500422478E-4</v>
          </cell>
          <cell r="DD16">
            <v>5.7684729644527264E-4</v>
          </cell>
          <cell r="DE16">
            <v>5.3725752532702859E-4</v>
          </cell>
          <cell r="DF16">
            <v>2.83018218930148</v>
          </cell>
        </row>
        <row r="17">
          <cell r="A17" t="str">
            <v>Sinapic acid</v>
          </cell>
          <cell r="B17">
            <v>8.8370960007267251E-3</v>
          </cell>
          <cell r="C17">
            <v>8.7531477152929041E-3</v>
          </cell>
          <cell r="D17">
            <v>7.5109034855601244E-3</v>
          </cell>
          <cell r="E17">
            <v>9.4708708688605731E-3</v>
          </cell>
          <cell r="F17">
            <v>1.1259617139500386E-2</v>
          </cell>
          <cell r="G17">
            <v>2.1038079786525345E-3</v>
          </cell>
          <cell r="H17">
            <v>1.0386058153258539E-3</v>
          </cell>
          <cell r="I17">
            <v>2.0393476583147685E-3</v>
          </cell>
          <cell r="J17">
            <v>1.0851633060887491E-3</v>
          </cell>
          <cell r="K17">
            <v>1.271871149688154E-3</v>
          </cell>
          <cell r="L17">
            <v>1.0722986709726036E-3</v>
          </cell>
          <cell r="M17">
            <v>9.8597533421826314E-4</v>
          </cell>
          <cell r="N17">
            <v>2.4347433870178076E-3</v>
          </cell>
          <cell r="O17">
            <v>1.9007808476257447E-3</v>
          </cell>
          <cell r="P17">
            <v>1.2712798108806299E-3</v>
          </cell>
          <cell r="Q17">
            <v>2.3734238629166712E-3</v>
          </cell>
          <cell r="R17">
            <v>5.6094199570272374E-4</v>
          </cell>
          <cell r="S17">
            <v>1.4398332970700137E-3</v>
          </cell>
          <cell r="T17">
            <v>1.9890906004110501E-3</v>
          </cell>
          <cell r="U17">
            <v>4.2977644627709664E-3</v>
          </cell>
          <cell r="V17">
            <v>2.9709124516084447E-3</v>
          </cell>
          <cell r="W17">
            <v>2.1143388572854435E-3</v>
          </cell>
          <cell r="X17">
            <v>4.4329362499798993E-4</v>
          </cell>
          <cell r="Y17">
            <v>4.4754288855747585E-4</v>
          </cell>
          <cell r="Z17">
            <v>5.0476706811320273E-4</v>
          </cell>
          <cell r="AA17">
            <v>1.028362271436125E-2</v>
          </cell>
          <cell r="AB17">
            <v>2.2991026491389075E-3</v>
          </cell>
          <cell r="AC17">
            <v>5.1260328077416652E-3</v>
          </cell>
          <cell r="AD17">
            <v>1.5412061934054412E-3</v>
          </cell>
          <cell r="AE17">
            <v>1.021909270550519E-2</v>
          </cell>
          <cell r="AF17">
            <v>2.0517340996121908E-3</v>
          </cell>
          <cell r="AG17">
            <v>6.0924371885735817E-4</v>
          </cell>
          <cell r="AH17">
            <v>2.1235360551607362E-4</v>
          </cell>
          <cell r="AI17">
            <v>1.3746944197935999E-3</v>
          </cell>
          <cell r="AJ17">
            <v>3.9608438369179275E-4</v>
          </cell>
          <cell r="AK17">
            <v>6.0345120271099412E-4</v>
          </cell>
          <cell r="AL17">
            <v>4.6850238305195933E-4</v>
          </cell>
          <cell r="AM17">
            <v>3.7433366060433005E-4</v>
          </cell>
          <cell r="AN17">
            <v>1.0763652276334282E-4</v>
          </cell>
          <cell r="AO17">
            <v>4.8344958544775424E-4</v>
          </cell>
          <cell r="AP17">
            <v>2.1210101964684743E-4</v>
          </cell>
          <cell r="AQ17">
            <v>3.852529391188648E-4</v>
          </cell>
          <cell r="AR17">
            <v>5.7381273471713646E-4</v>
          </cell>
          <cell r="AS17">
            <v>3.8624843005371763E-4</v>
          </cell>
          <cell r="AT17">
            <v>1.207492441999072E-3</v>
          </cell>
          <cell r="AU17">
            <v>7.7436334387126851E-4</v>
          </cell>
          <cell r="AV17">
            <v>5.8144470210391014E-4</v>
          </cell>
          <cell r="AW17">
            <v>7.0817648197972385E-4</v>
          </cell>
          <cell r="AX17">
            <v>4.2070737087638628E-4</v>
          </cell>
          <cell r="AY17">
            <v>3.6005487994380251E-4</v>
          </cell>
          <cell r="AZ17">
            <v>5.8985046502164147E-4</v>
          </cell>
          <cell r="BA17">
            <v>2.1863250064744068E-3</v>
          </cell>
          <cell r="BB17">
            <v>7.9819176206320579E-4</v>
          </cell>
          <cell r="BC17">
            <v>8.0249376414286264E-4</v>
          </cell>
          <cell r="BD17">
            <v>1.4653103896373424E-3</v>
          </cell>
          <cell r="BE17">
            <v>6.8783846967828365E-4</v>
          </cell>
          <cell r="BF17">
            <v>8.9204949711641228E-4</v>
          </cell>
          <cell r="BG17">
            <v>1.5151841824698321E-3</v>
          </cell>
          <cell r="BH17">
            <v>4.1652677962897619E-4</v>
          </cell>
          <cell r="BI17">
            <v>1.4641653835888947E-3</v>
          </cell>
          <cell r="BJ17">
            <v>8.8522980341063714E-4</v>
          </cell>
          <cell r="BK17">
            <v>8.432173481327976E-4</v>
          </cell>
          <cell r="BL17">
            <v>5.133031902909862E-4</v>
          </cell>
          <cell r="BM17">
            <v>1.811414024494195E-3</v>
          </cell>
          <cell r="BN17">
            <v>3.8595745395762266E-4</v>
          </cell>
          <cell r="BO17">
            <v>7.0475392218233008E-4</v>
          </cell>
          <cell r="BP17">
            <v>3.2671730436822108E-4</v>
          </cell>
          <cell r="BQ17">
            <v>7.06344340887809E-4</v>
          </cell>
          <cell r="BR17">
            <v>6.2120848718594474E-4</v>
          </cell>
          <cell r="BS17">
            <v>7.6333433110234309E-4</v>
          </cell>
          <cell r="BT17">
            <v>9.1615915066323042E-4</v>
          </cell>
          <cell r="BU17">
            <v>2.8142663911440727E-4</v>
          </cell>
          <cell r="BV17">
            <v>3.7421143338929055E-3</v>
          </cell>
          <cell r="BW17">
            <v>8.7023325799836506E-4</v>
          </cell>
          <cell r="BX17">
            <v>7.5921484083476968E-4</v>
          </cell>
          <cell r="BY17">
            <v>1.2179106938718905E-3</v>
          </cell>
          <cell r="BZ17">
            <v>1.6640791164147118E-3</v>
          </cell>
          <cell r="CA17">
            <v>1.543548627123803E-3</v>
          </cell>
          <cell r="CB17">
            <v>5.312160928709439E-3</v>
          </cell>
          <cell r="CC17">
            <v>2.0596800688940345E-3</v>
          </cell>
          <cell r="CD17">
            <v>1.4511753611899715E-4</v>
          </cell>
          <cell r="CE17">
            <v>9.2374000449610313E-5</v>
          </cell>
          <cell r="CF17">
            <v>2.8503858208578695E-4</v>
          </cell>
          <cell r="CG17">
            <v>4.255758003134457E-4</v>
          </cell>
          <cell r="CH17">
            <v>1.8435135204500187E-4</v>
          </cell>
          <cell r="CI17">
            <v>1.3812690648551894E-4</v>
          </cell>
          <cell r="CJ17">
            <v>1.4837896961313548E-4</v>
          </cell>
          <cell r="CK17">
            <v>1.9516941261555154E-4</v>
          </cell>
          <cell r="CL17">
            <v>6.460480748354595E-5</v>
          </cell>
          <cell r="CM17">
            <v>8.8400300330390745E-5</v>
          </cell>
          <cell r="CN17">
            <v>2.2109789931441467E-4</v>
          </cell>
          <cell r="CO17">
            <v>3.1607623301006782E-4</v>
          </cell>
          <cell r="CP17">
            <v>1.8750466802544574E-4</v>
          </cell>
          <cell r="CQ17">
            <v>4.7857401152825508E-4</v>
          </cell>
          <cell r="CR17">
            <v>3.3944676161671075E-4</v>
          </cell>
          <cell r="CS17">
            <v>2.4025842608539632E-4</v>
          </cell>
          <cell r="CT17">
            <v>2.5409984606687377E-4</v>
          </cell>
          <cell r="CU17">
            <v>1.4750652607219269E-4</v>
          </cell>
          <cell r="CV17">
            <v>8.2834156672085895E-5</v>
          </cell>
          <cell r="CW17">
            <v>1.1839667662627348E-4</v>
          </cell>
          <cell r="CX17">
            <v>3.5692110225446315E-4</v>
          </cell>
          <cell r="CY17">
            <v>3.577673871014454E-4</v>
          </cell>
          <cell r="CZ17">
            <v>3.7197309534197617E-4</v>
          </cell>
          <cell r="DA17">
            <v>3.4567403091215264E-4</v>
          </cell>
          <cell r="DB17">
            <v>3.5733967309609251E-4</v>
          </cell>
          <cell r="DC17">
            <v>3.4954724581607991E-4</v>
          </cell>
          <cell r="DD17">
            <v>3.7116156018237955E-4</v>
          </cell>
          <cell r="DE17">
            <v>3.3970417090615275E-4</v>
          </cell>
          <cell r="DF17">
            <v>3.1899170360364826</v>
          </cell>
        </row>
        <row r="18">
          <cell r="A18" t="str">
            <v>Luteolin</v>
          </cell>
          <cell r="B18">
            <v>3.056889752946425E-4</v>
          </cell>
          <cell r="C18">
            <v>3.0130734039474137E-4</v>
          </cell>
          <cell r="D18">
            <v>2.1802343680339887E-4</v>
          </cell>
          <cell r="E18">
            <v>2.0667227662502291E-4</v>
          </cell>
          <cell r="F18">
            <v>2.2048447965030178E-4</v>
          </cell>
          <cell r="G18">
            <v>5.1625868940170403E-4</v>
          </cell>
          <cell r="H18">
            <v>3.8068344611588993E-4</v>
          </cell>
          <cell r="I18">
            <v>2.1028781248846334E-4</v>
          </cell>
          <cell r="J18">
            <v>3.3754618670201267E-4</v>
          </cell>
          <cell r="K18">
            <v>4.0014323325735066E-4</v>
          </cell>
          <cell r="L18">
            <v>6.498936208408616E-4</v>
          </cell>
          <cell r="M18">
            <v>8.0080195277713883E-4</v>
          </cell>
          <cell r="N18">
            <v>2.2631853935152545E-4</v>
          </cell>
          <cell r="O18">
            <v>1.3196475376627979E-4</v>
          </cell>
          <cell r="P18">
            <v>3.155426082683783E-4</v>
          </cell>
          <cell r="Q18">
            <v>3.8660455765782869E-4</v>
          </cell>
          <cell r="R18">
            <v>1.5040165625845568E-3</v>
          </cell>
          <cell r="S18">
            <v>8.0581137456003449E-4</v>
          </cell>
          <cell r="T18">
            <v>1.2160128808027307E-3</v>
          </cell>
          <cell r="U18">
            <v>1.1970108149952539E-3</v>
          </cell>
          <cell r="V18">
            <v>6.874738674893711E-4</v>
          </cell>
          <cell r="W18">
            <v>4.4198345636009686E-4</v>
          </cell>
          <cell r="X18">
            <v>6.8234247707399159E-4</v>
          </cell>
          <cell r="Y18">
            <v>8.2530760351727398E-4</v>
          </cell>
          <cell r="Z18">
            <v>6.8826891867741497E-4</v>
          </cell>
          <cell r="AA18">
            <v>5.4815284395992874E-4</v>
          </cell>
          <cell r="AB18">
            <v>6.2044459731915068E-4</v>
          </cell>
          <cell r="AC18">
            <v>5.5339695876549945E-4</v>
          </cell>
          <cell r="AD18">
            <v>2.0589102742239596E-4</v>
          </cell>
          <cell r="AE18">
            <v>2.9850475767194824E-4</v>
          </cell>
          <cell r="AF18">
            <v>6.212783243842398E-4</v>
          </cell>
          <cell r="AG18">
            <v>6.6959718494664672E-4</v>
          </cell>
          <cell r="AH18">
            <v>5.136864591776465E-4</v>
          </cell>
          <cell r="AI18">
            <v>4.5689806758632468E-4</v>
          </cell>
          <cell r="AJ18">
            <v>3.4628635749381793E-4</v>
          </cell>
          <cell r="AK18">
            <v>6.368039369076653E-4</v>
          </cell>
          <cell r="AL18">
            <v>9.1658032118255869E-4</v>
          </cell>
          <cell r="AM18">
            <v>1.2755822791945112E-3</v>
          </cell>
          <cell r="AN18">
            <v>1.4993059178520279E-3</v>
          </cell>
          <cell r="AO18">
            <v>1.2444792385010001E-3</v>
          </cell>
          <cell r="AP18">
            <v>6.482553469298718E-4</v>
          </cell>
          <cell r="AQ18">
            <v>7.940276377354841E-4</v>
          </cell>
          <cell r="AR18">
            <v>6.7161872942534762E-4</v>
          </cell>
          <cell r="AS18">
            <v>8.0802620918429379E-4</v>
          </cell>
          <cell r="AT18">
            <v>3.7429194235561949E-4</v>
          </cell>
          <cell r="AU18">
            <v>1.0493317677456216E-3</v>
          </cell>
          <cell r="AV18">
            <v>1.1201308983909729E-3</v>
          </cell>
          <cell r="AW18">
            <v>9.1873026497630412E-4</v>
          </cell>
          <cell r="AX18">
            <v>1.0229836432446224E-3</v>
          </cell>
          <cell r="AY18">
            <v>1.0500935342531586E-3</v>
          </cell>
          <cell r="AZ18">
            <v>1.3669171282535244E-3</v>
          </cell>
          <cell r="BA18">
            <v>1.013384625538344E-3</v>
          </cell>
          <cell r="BB18">
            <v>1.7209370791535083E-3</v>
          </cell>
          <cell r="BC18">
            <v>1.1780155997188041E-3</v>
          </cell>
          <cell r="BD18">
            <v>1.0308505673231184E-3</v>
          </cell>
          <cell r="BE18">
            <v>7.6526695529037661E-3</v>
          </cell>
          <cell r="BF18">
            <v>2.5396483119510842E-4</v>
          </cell>
          <cell r="BG18">
            <v>4.7912841305126832E-4</v>
          </cell>
          <cell r="BH18">
            <v>1.4274309418414761E-3</v>
          </cell>
          <cell r="BI18">
            <v>6.9301478262162792E-4</v>
          </cell>
          <cell r="BJ18">
            <v>0</v>
          </cell>
          <cell r="BK18">
            <v>3.79513487416919E-4</v>
          </cell>
          <cell r="BL18">
            <v>3.1838360294855674E-4</v>
          </cell>
          <cell r="BM18">
            <v>1.6487304922888527E-4</v>
          </cell>
          <cell r="BN18">
            <v>2.1378278311439368E-4</v>
          </cell>
          <cell r="BO18">
            <v>1.1539566335440259E-3</v>
          </cell>
          <cell r="BP18">
            <v>2.7573296406981766E-3</v>
          </cell>
          <cell r="BQ18">
            <v>1.3941634798885975E-3</v>
          </cell>
          <cell r="BR18">
            <v>1.5332505442342277E-3</v>
          </cell>
          <cell r="BS18">
            <v>1.6191805444181375E-3</v>
          </cell>
          <cell r="BT18">
            <v>6.1632342549016014E-4</v>
          </cell>
          <cell r="BU18">
            <v>9.9752753886685913E-4</v>
          </cell>
          <cell r="BV18">
            <v>2.5182541438562836E-4</v>
          </cell>
          <cell r="BW18">
            <v>3.4261027360095556E-4</v>
          </cell>
          <cell r="BX18">
            <v>1.3737098021607445E-4</v>
          </cell>
          <cell r="BY18">
            <v>1.6602384319234242E-3</v>
          </cell>
          <cell r="BZ18">
            <v>1.2567677846669198E-3</v>
          </cell>
          <cell r="CA18">
            <v>1.260837570226791E-3</v>
          </cell>
          <cell r="CB18">
            <v>1.7536143819480469E-3</v>
          </cell>
          <cell r="CC18">
            <v>1.0660272635908644E-3</v>
          </cell>
          <cell r="CD18">
            <v>1.884196923114957E-3</v>
          </cell>
          <cell r="CE18">
            <v>2.2569359958890078E-3</v>
          </cell>
          <cell r="CF18">
            <v>1.9698849365939676E-3</v>
          </cell>
          <cell r="CG18">
            <v>1.2879256772555024E-3</v>
          </cell>
          <cell r="CH18">
            <v>1.6361448049720202E-3</v>
          </cell>
          <cell r="CI18">
            <v>1.6730814799145338E-3</v>
          </cell>
          <cell r="CJ18">
            <v>2.1472724079874806E-3</v>
          </cell>
          <cell r="CK18">
            <v>2.5542715151473487E-3</v>
          </cell>
          <cell r="CL18">
            <v>1.3422390103259988E-3</v>
          </cell>
          <cell r="CM18">
            <v>2.0561548935181624E-3</v>
          </cell>
          <cell r="CN18">
            <v>1.7586706252386143E-3</v>
          </cell>
          <cell r="CO18">
            <v>1.4354964122117635E-3</v>
          </cell>
          <cell r="CP18">
            <v>1.5644643234456813E-3</v>
          </cell>
          <cell r="CQ18">
            <v>1.3656865750372091E-3</v>
          </cell>
          <cell r="CR18">
            <v>1.4102886949919906E-3</v>
          </cell>
          <cell r="CS18">
            <v>1.8125153200102394E-3</v>
          </cell>
          <cell r="CT18">
            <v>1.7349195280698722E-3</v>
          </cell>
          <cell r="CU18">
            <v>1.9166830800944055E-3</v>
          </cell>
          <cell r="CV18">
            <v>1.4040137956847858E-3</v>
          </cell>
          <cell r="CW18">
            <v>1.4758996369188388E-3</v>
          </cell>
          <cell r="CX18">
            <v>1.9188252785866879E-3</v>
          </cell>
          <cell r="CY18">
            <v>1.7823556679998239E-3</v>
          </cell>
          <cell r="CZ18">
            <v>1.8013209707994061E-3</v>
          </cell>
          <cell r="DA18">
            <v>1.8107381920182358E-3</v>
          </cell>
          <cell r="DB18">
            <v>1.787459660508834E-3</v>
          </cell>
          <cell r="DC18">
            <v>1.7454736910775927E-3</v>
          </cell>
          <cell r="DD18">
            <v>1.808652693691754E-3</v>
          </cell>
          <cell r="DE18">
            <v>1.690631116156938E-3</v>
          </cell>
          <cell r="DF18">
            <v>3.6105806407195589</v>
          </cell>
        </row>
        <row r="19">
          <cell r="A19" t="str">
            <v>2;3;4-Trihydroxybenzoic acid</v>
          </cell>
          <cell r="B19">
            <v>1.5838806518967794E-3</v>
          </cell>
          <cell r="C19">
            <v>1.611238230945572E-3</v>
          </cell>
          <cell r="D19">
            <v>1.1299806787970796E-3</v>
          </cell>
          <cell r="E19">
            <v>1.9239102616330473E-3</v>
          </cell>
          <cell r="F19">
            <v>2.3287819470617353E-3</v>
          </cell>
          <cell r="G19">
            <v>1.9152250579312824E-3</v>
          </cell>
          <cell r="H19">
            <v>1.70246035409769E-3</v>
          </cell>
          <cell r="I19">
            <v>2.6522995607682009E-3</v>
          </cell>
          <cell r="J19">
            <v>8.2139243270058185E-4</v>
          </cell>
          <cell r="K19">
            <v>1.4460398319609104E-3</v>
          </cell>
          <cell r="L19">
            <v>1.3639695311522587E-3</v>
          </cell>
          <cell r="M19">
            <v>1.6071742838882023E-3</v>
          </cell>
          <cell r="N19">
            <v>4.5249840078173962E-3</v>
          </cell>
          <cell r="O19">
            <v>7.5611206877343993E-4</v>
          </cell>
          <cell r="P19">
            <v>1.5137943043869249E-3</v>
          </cell>
          <cell r="Q19">
            <v>5.0539168803642271E-3</v>
          </cell>
          <cell r="R19">
            <v>9.5338600006213527E-4</v>
          </cell>
          <cell r="S19">
            <v>3.5171622674132412E-3</v>
          </cell>
          <cell r="T19">
            <v>2.4375722747708773E-3</v>
          </cell>
          <cell r="U19">
            <v>5.8268327383289202E-3</v>
          </cell>
          <cell r="V19">
            <v>3.551962922318077E-3</v>
          </cell>
          <cell r="W19">
            <v>3.5876622410888053E-3</v>
          </cell>
          <cell r="X19">
            <v>1.4449828977317516E-3</v>
          </cell>
          <cell r="Y19">
            <v>1.2943477855812487E-3</v>
          </cell>
          <cell r="Z19">
            <v>1.4168027522925039E-3</v>
          </cell>
          <cell r="AA19">
            <v>1.5710136955485506E-3</v>
          </cell>
          <cell r="AB19">
            <v>1.2956414600044073E-3</v>
          </cell>
          <cell r="AC19">
            <v>1.506200136950345E-3</v>
          </cell>
          <cell r="AD19">
            <v>3.2675499960336586E-3</v>
          </cell>
          <cell r="AE19">
            <v>1.0170119747842489E-3</v>
          </cell>
          <cell r="AF19">
            <v>2.9108785807364191E-4</v>
          </cell>
          <cell r="AG19">
            <v>9.3509100890478303E-4</v>
          </cell>
          <cell r="AH19">
            <v>5.7109255604226121E-4</v>
          </cell>
          <cell r="AI19">
            <v>1.2724246136309296E-3</v>
          </cell>
          <cell r="AJ19">
            <v>1.4802462600258016E-3</v>
          </cell>
          <cell r="AK19">
            <v>2.6158395148121864E-3</v>
          </cell>
          <cell r="AL19">
            <v>2.3071592241423852E-3</v>
          </cell>
          <cell r="AM19">
            <v>6.6215855681173229E-4</v>
          </cell>
          <cell r="AN19">
            <v>5.4797244772143618E-4</v>
          </cell>
          <cell r="AO19">
            <v>9.7116362969799528E-4</v>
          </cell>
          <cell r="AP19">
            <v>6.2725360544740199E-4</v>
          </cell>
          <cell r="AQ19">
            <v>3.4838843681683356E-4</v>
          </cell>
          <cell r="AR19">
            <v>2.5450106582466535E-4</v>
          </cell>
          <cell r="AS19">
            <v>2.6967336877824623E-4</v>
          </cell>
          <cell r="AT19">
            <v>8.6886501136900732E-4</v>
          </cell>
          <cell r="AU19">
            <v>2.8370551373439062E-4</v>
          </cell>
          <cell r="AV19">
            <v>3.4610264230274375E-4</v>
          </cell>
          <cell r="AW19">
            <v>5.8561338275006083E-4</v>
          </cell>
          <cell r="AX19">
            <v>3.7905112152016929E-4</v>
          </cell>
          <cell r="AY19">
            <v>2.3568932769605589E-4</v>
          </cell>
          <cell r="AZ19">
            <v>1.0208308366908552E-3</v>
          </cell>
          <cell r="BA19">
            <v>6.6502414923943023E-4</v>
          </cell>
          <cell r="BB19">
            <v>4.5973446487912364E-4</v>
          </cell>
          <cell r="BC19">
            <v>7.4236673288586728E-4</v>
          </cell>
          <cell r="BD19">
            <v>9.1573360671171815E-4</v>
          </cell>
          <cell r="BE19">
            <v>3.3742790981567462E-3</v>
          </cell>
          <cell r="BF19">
            <v>4.4341257308665675E-3</v>
          </cell>
          <cell r="BG19">
            <v>7.0829519873031981E-4</v>
          </cell>
          <cell r="BH19">
            <v>2.4817435832918516E-4</v>
          </cell>
          <cell r="BI19">
            <v>2.4102309635998429E-3</v>
          </cell>
          <cell r="BJ19">
            <v>7.5754722030949703E-3</v>
          </cell>
          <cell r="BK19">
            <v>5.5694456724949088E-3</v>
          </cell>
          <cell r="BL19">
            <v>1.041312762160021E-3</v>
          </cell>
          <cell r="BM19">
            <v>3.4291940446549477E-3</v>
          </cell>
          <cell r="BN19">
            <v>2.7988267825555498E-3</v>
          </cell>
          <cell r="BO19">
            <v>3.3953468578883502E-3</v>
          </cell>
          <cell r="BP19">
            <v>2.6341768997099079E-3</v>
          </cell>
          <cell r="BQ19">
            <v>5.0261733344485063E-3</v>
          </cell>
          <cell r="BR19">
            <v>7.4359206226441764E-4</v>
          </cell>
          <cell r="BS19">
            <v>5.5966119327757278E-3</v>
          </cell>
          <cell r="BT19">
            <v>4.6108884882075842E-3</v>
          </cell>
          <cell r="BU19">
            <v>1.8373929203613663E-3</v>
          </cell>
          <cell r="BV19">
            <v>3.4685266825906615E-3</v>
          </cell>
          <cell r="BW19">
            <v>4.7593347489408994E-3</v>
          </cell>
          <cell r="BX19">
            <v>8.9011232643152333E-3</v>
          </cell>
          <cell r="BY19">
            <v>1.1803670788485389E-3</v>
          </cell>
          <cell r="BZ19">
            <v>7.2851513945385146E-4</v>
          </cell>
          <cell r="CA19">
            <v>7.2010006943530776E-4</v>
          </cell>
          <cell r="CB19">
            <v>1.6159730323152873E-3</v>
          </cell>
          <cell r="CC19">
            <v>5.1593675749431753E-4</v>
          </cell>
          <cell r="CD19">
            <v>2.0789515526410248E-4</v>
          </cell>
          <cell r="CE19">
            <v>4.8801942524001265E-4</v>
          </cell>
          <cell r="CF19">
            <v>1.2846204164697122E-4</v>
          </cell>
          <cell r="CG19">
            <v>1.0228389800734511E-3</v>
          </cell>
          <cell r="CH19">
            <v>4.7630399648737799E-4</v>
          </cell>
          <cell r="CI19">
            <v>4.2364042637190081E-4</v>
          </cell>
          <cell r="CJ19">
            <v>5.5636308551470376E-4</v>
          </cell>
          <cell r="CK19">
            <v>7.1509810653566132E-4</v>
          </cell>
          <cell r="CL19">
            <v>3.1271723976490504E-4</v>
          </cell>
          <cell r="CM19">
            <v>5.1980615698343552E-4</v>
          </cell>
          <cell r="CN19">
            <v>2.0219470042705389E-4</v>
          </cell>
          <cell r="CO19">
            <v>4.4949973624739997E-4</v>
          </cell>
          <cell r="CP19">
            <v>4.0085588428415223E-4</v>
          </cell>
          <cell r="CQ19">
            <v>6.8368006941827396E-4</v>
          </cell>
          <cell r="CR19">
            <v>1.7475858029575877E-4</v>
          </cell>
          <cell r="CS19">
            <v>3.1319475927282119E-4</v>
          </cell>
          <cell r="CT19">
            <v>3.0117209288072134E-4</v>
          </cell>
          <cell r="CU19">
            <v>2.4341630283603182E-4</v>
          </cell>
          <cell r="CV19">
            <v>3.870753991662656E-4</v>
          </cell>
          <cell r="CW19">
            <v>2.699447411005004E-4</v>
          </cell>
          <cell r="CX19">
            <v>4.5075056909516003E-4</v>
          </cell>
          <cell r="CY19">
            <v>4.3932342871234273E-4</v>
          </cell>
          <cell r="CZ19">
            <v>4.4921685032911875E-4</v>
          </cell>
          <cell r="DA19">
            <v>4.1951119828803987E-4</v>
          </cell>
          <cell r="DB19">
            <v>4.5011108990670123E-4</v>
          </cell>
          <cell r="DC19">
            <v>4.410512107862071E-4</v>
          </cell>
          <cell r="DD19">
            <v>4.4066689076979938E-4</v>
          </cell>
          <cell r="DE19">
            <v>4.047204769842247E-4</v>
          </cell>
          <cell r="DF19">
            <v>3.7640487642326748</v>
          </cell>
        </row>
        <row r="20">
          <cell r="A20" t="str">
            <v>Acetylphloroglucinol</v>
          </cell>
          <cell r="B20">
            <v>2.0075492083845126E-4</v>
          </cell>
          <cell r="C20">
            <v>4.0329354731317041E-4</v>
          </cell>
          <cell r="D20">
            <v>3.6401101779680274E-4</v>
          </cell>
          <cell r="E20">
            <v>3.6999570042339119E-4</v>
          </cell>
          <cell r="F20">
            <v>6.2415222861896078E-4</v>
          </cell>
          <cell r="G20">
            <v>1.2101715863316416E-4</v>
          </cell>
          <cell r="H20">
            <v>0</v>
          </cell>
          <cell r="I20">
            <v>0</v>
          </cell>
          <cell r="J20">
            <v>0</v>
          </cell>
          <cell r="K20">
            <v>1.2622821500021575E-4</v>
          </cell>
          <cell r="L20">
            <v>0</v>
          </cell>
          <cell r="M20">
            <v>6.7034552296482713E-5</v>
          </cell>
          <cell r="N20">
            <v>5.4523630063398412E-4</v>
          </cell>
          <cell r="O20">
            <v>3.4486618595098539E-4</v>
          </cell>
          <cell r="P20">
            <v>1.4616864189758813E-4</v>
          </cell>
          <cell r="Q20">
            <v>0</v>
          </cell>
          <cell r="R20">
            <v>5.2054122399373074E-5</v>
          </cell>
          <cell r="S20">
            <v>3.1656248347229101E-4</v>
          </cell>
          <cell r="T20">
            <v>1.5594975268343105E-4</v>
          </cell>
          <cell r="U20">
            <v>3.6119753395236627E-4</v>
          </cell>
          <cell r="V20">
            <v>4.3734662501259883E-4</v>
          </cell>
          <cell r="W20">
            <v>0</v>
          </cell>
          <cell r="X20">
            <v>2.0821791884443355E-4</v>
          </cell>
          <cell r="Y20">
            <v>0</v>
          </cell>
          <cell r="Z20">
            <v>2.4355243239483217E-4</v>
          </cell>
          <cell r="AA20">
            <v>4.2590004944538339E-4</v>
          </cell>
          <cell r="AB20">
            <v>3.0636745982128493E-4</v>
          </cell>
          <cell r="AC20">
            <v>4.448792997087033E-4</v>
          </cell>
          <cell r="AD20">
            <v>4.4402280876880906E-4</v>
          </cell>
          <cell r="AE20">
            <v>4.7428064302076797E-4</v>
          </cell>
          <cell r="AF20">
            <v>1.2634485379065921E-4</v>
          </cell>
          <cell r="AG20">
            <v>1.8729357565226484E-4</v>
          </cell>
          <cell r="AH20">
            <v>1.0494332558370691E-4</v>
          </cell>
          <cell r="AI20">
            <v>2.1634564959391591E-4</v>
          </cell>
          <cell r="AJ20">
            <v>4.8072447723478805E-5</v>
          </cell>
          <cell r="AK20">
            <v>3.0731604335277891E-4</v>
          </cell>
          <cell r="AL20">
            <v>1.8640040956052244E-4</v>
          </cell>
          <cell r="AM20">
            <v>6.1640532473783286E-4</v>
          </cell>
          <cell r="AN20">
            <v>5.2162311937848185E-4</v>
          </cell>
          <cell r="AO20">
            <v>3.2268587883062098E-4</v>
          </cell>
          <cell r="AP20">
            <v>8.3324284980618711E-5</v>
          </cell>
          <cell r="AQ20">
            <v>3.2551505598475656E-4</v>
          </cell>
          <cell r="AR20">
            <v>1.0560266750609305E-4</v>
          </cell>
          <cell r="AS20">
            <v>2.5262141904373219E-4</v>
          </cell>
          <cell r="AT20">
            <v>1.0515441857152765E-4</v>
          </cell>
          <cell r="AU20">
            <v>2.3645444796717338E-4</v>
          </cell>
          <cell r="AV20">
            <v>3.4779445386783975E-4</v>
          </cell>
          <cell r="AW20">
            <v>2.7997717074034346E-4</v>
          </cell>
          <cell r="AX20">
            <v>2.1897982574485358E-4</v>
          </cell>
          <cell r="AY20">
            <v>1.9837640849092406E-4</v>
          </cell>
          <cell r="AZ20">
            <v>2.6886825248258764E-4</v>
          </cell>
          <cell r="BA20">
            <v>7.7050926288477239E-4</v>
          </cell>
          <cell r="BB20">
            <v>5.1181211090366673E-4</v>
          </cell>
          <cell r="BC20">
            <v>4.1923088545370264E-4</v>
          </cell>
          <cell r="BD20">
            <v>4.3670656935731892E-4</v>
          </cell>
          <cell r="BE20">
            <v>1.350942384432755E-4</v>
          </cell>
          <cell r="BF20">
            <v>2.7218666349709174E-4</v>
          </cell>
          <cell r="BG20">
            <v>9.5052671140841412E-5</v>
          </cell>
          <cell r="BH20">
            <v>2.1842755822269516E-4</v>
          </cell>
          <cell r="BI20">
            <v>0</v>
          </cell>
          <cell r="BJ20">
            <v>0</v>
          </cell>
          <cell r="BK20">
            <v>0</v>
          </cell>
          <cell r="BL20">
            <v>3.4057900539859274E-4</v>
          </cell>
          <cell r="BM20">
            <v>3.3032890463956753E-4</v>
          </cell>
          <cell r="BN20">
            <v>3.2264619169528475E-4</v>
          </cell>
          <cell r="BO20">
            <v>3.9380229018256717E-4</v>
          </cell>
          <cell r="BP20">
            <v>1.70678615786631E-4</v>
          </cell>
          <cell r="BQ20">
            <v>2.4392212299768646E-4</v>
          </cell>
          <cell r="BR20">
            <v>4.9868295617090097E-5</v>
          </cell>
          <cell r="BS20">
            <v>1.6595679513839865E-4</v>
          </cell>
          <cell r="BT20">
            <v>0</v>
          </cell>
          <cell r="BU20">
            <v>1.6188248417575395E-4</v>
          </cell>
          <cell r="BV20">
            <v>4.7077358307818633E-4</v>
          </cell>
          <cell r="BW20">
            <v>4.7217638518657305E-4</v>
          </cell>
          <cell r="BX20">
            <v>1.3353050897930153E-4</v>
          </cell>
          <cell r="BY20">
            <v>3.7591068183011502E-4</v>
          </cell>
          <cell r="BZ20">
            <v>2.8038312922152117E-4</v>
          </cell>
          <cell r="CA20">
            <v>2.8891592609849975E-4</v>
          </cell>
          <cell r="CB20">
            <v>4.9475684482329482E-4</v>
          </cell>
          <cell r="CC20">
            <v>4.8148865225400127E-4</v>
          </cell>
          <cell r="CD20">
            <v>6.1897320767315817E-4</v>
          </cell>
          <cell r="CE20">
            <v>6.7185943327008281E-4</v>
          </cell>
          <cell r="CF20">
            <v>4.9228983910734104E-4</v>
          </cell>
          <cell r="CG20">
            <v>3.0237654691187189E-4</v>
          </cell>
          <cell r="CH20">
            <v>3.4306433574668335E-4</v>
          </cell>
          <cell r="CI20">
            <v>1.3623287669907711E-3</v>
          </cell>
          <cell r="CJ20">
            <v>8.9569609455769465E-4</v>
          </cell>
          <cell r="CK20">
            <v>7.5252261666922191E-4</v>
          </cell>
          <cell r="CL20">
            <v>6.9761303675268632E-4</v>
          </cell>
          <cell r="CM20">
            <v>5.7053912979548242E-4</v>
          </cell>
          <cell r="CN20">
            <v>3.649764442356605E-4</v>
          </cell>
          <cell r="CO20">
            <v>3.2890004623755705E-4</v>
          </cell>
          <cell r="CP20">
            <v>4.6718519593746423E-4</v>
          </cell>
          <cell r="CQ20">
            <v>2.6806624579218388E-4</v>
          </cell>
          <cell r="CR20">
            <v>3.4117573182177905E-4</v>
          </cell>
          <cell r="CS20">
            <v>3.6144488325331173E-4</v>
          </cell>
          <cell r="CT20">
            <v>3.5496651288920909E-4</v>
          </cell>
          <cell r="CU20">
            <v>3.996543876167211E-4</v>
          </cell>
          <cell r="CV20">
            <v>2.5908749918795309E-4</v>
          </cell>
          <cell r="CW20">
            <v>3.0202399139625638E-4</v>
          </cell>
          <cell r="CX20">
            <v>3.8803437798249881E-4</v>
          </cell>
          <cell r="CY20">
            <v>3.8393387265901746E-4</v>
          </cell>
          <cell r="CZ20">
            <v>3.8880562522058509E-4</v>
          </cell>
          <cell r="DA20">
            <v>3.6858690833655816E-4</v>
          </cell>
          <cell r="DB20">
            <v>3.8155582319899492E-4</v>
          </cell>
          <cell r="DC20">
            <v>3.7470104063170136E-4</v>
          </cell>
          <cell r="DD20">
            <v>3.9974189891002379E-4</v>
          </cell>
          <cell r="DE20">
            <v>3.5123475172603756E-4</v>
          </cell>
          <cell r="DF20">
            <v>3.9000916339774503</v>
          </cell>
        </row>
        <row r="21">
          <cell r="A21" t="str">
            <v>Apigenin</v>
          </cell>
          <cell r="B21">
            <v>2.4398037493257127E-4</v>
          </cell>
          <cell r="C21">
            <v>3.6093686659091292E-4</v>
          </cell>
          <cell r="D21">
            <v>1.8871759934710897E-4</v>
          </cell>
          <cell r="E21">
            <v>1.1739401373997873E-4</v>
          </cell>
          <cell r="F21">
            <v>1.1589143052149204E-4</v>
          </cell>
          <cell r="G21">
            <v>1.9535851734586387E-4</v>
          </cell>
          <cell r="H21">
            <v>1.4616515718676821E-4</v>
          </cell>
          <cell r="I21">
            <v>1.4928027596705867E-4</v>
          </cell>
          <cell r="J21">
            <v>8.2957543375938292E-5</v>
          </cell>
          <cell r="K21">
            <v>2.1432646934290797E-4</v>
          </cell>
          <cell r="L21">
            <v>6.9104782239250715E-4</v>
          </cell>
          <cell r="M21">
            <v>2.9142200692374142E-4</v>
          </cell>
          <cell r="N21">
            <v>0</v>
          </cell>
          <cell r="O21">
            <v>0</v>
          </cell>
          <cell r="P21">
            <v>4.9621552164579583E-4</v>
          </cell>
          <cell r="Q21">
            <v>5.341510551839486E-5</v>
          </cell>
          <cell r="R21">
            <v>6.1848919219962715E-5</v>
          </cell>
          <cell r="S21">
            <v>3.6332552592451056E-5</v>
          </cell>
          <cell r="T21">
            <v>0</v>
          </cell>
          <cell r="U21">
            <v>1.0142807328189762E-4</v>
          </cell>
          <cell r="V21">
            <v>5.5810558404316088E-4</v>
          </cell>
          <cell r="W21">
            <v>8.9370603980542114E-5</v>
          </cell>
          <cell r="X21">
            <v>2.5855299831213066E-4</v>
          </cell>
          <cell r="Y21">
            <v>5.2078285859222175E-4</v>
          </cell>
          <cell r="Z21">
            <v>3.2854068123186594E-4</v>
          </cell>
          <cell r="AA21">
            <v>6.5062972217845366E-4</v>
          </cell>
          <cell r="AB21">
            <v>5.1202519078946077E-4</v>
          </cell>
          <cell r="AC21">
            <v>5.1179900658135033E-4</v>
          </cell>
          <cell r="AD21">
            <v>2.6879945613089885E-4</v>
          </cell>
          <cell r="AE21">
            <v>3.542480856466394E-4</v>
          </cell>
          <cell r="AF21">
            <v>0</v>
          </cell>
          <cell r="AG21">
            <v>0</v>
          </cell>
          <cell r="AH21">
            <v>1.2774389224656356E-5</v>
          </cell>
          <cell r="AI21">
            <v>1.0126063765655116E-5</v>
          </cell>
          <cell r="AJ21">
            <v>0</v>
          </cell>
          <cell r="AK21">
            <v>1.2725941510747616E-5</v>
          </cell>
          <cell r="AL21">
            <v>3.5250548878224978E-5</v>
          </cell>
          <cell r="AM21">
            <v>3.8521225393515835E-5</v>
          </cell>
          <cell r="AN21">
            <v>1.0112386955527611E-4</v>
          </cell>
          <cell r="AO21">
            <v>5.9498847552723776E-5</v>
          </cell>
          <cell r="AP21">
            <v>2.7075953211693409E-5</v>
          </cell>
          <cell r="AQ21">
            <v>2.8709115435913045E-5</v>
          </cell>
          <cell r="AR21">
            <v>3.6695979500442066E-5</v>
          </cell>
          <cell r="AS21">
            <v>3.1941960579807494E-5</v>
          </cell>
          <cell r="AT21">
            <v>0</v>
          </cell>
          <cell r="AU21">
            <v>3.4967341128592685E-5</v>
          </cell>
          <cell r="AV21">
            <v>8.4662837162895779E-5</v>
          </cell>
          <cell r="AW21">
            <v>4.6977323678845094E-5</v>
          </cell>
          <cell r="AX21">
            <v>7.014411030219843E-5</v>
          </cell>
          <cell r="AY21">
            <v>5.152249906124321E-5</v>
          </cell>
          <cell r="AZ21">
            <v>3.8209964715555408E-4</v>
          </cell>
          <cell r="BA21">
            <v>4.4257907191873737E-4</v>
          </cell>
          <cell r="BB21">
            <v>4.9630733794549773E-4</v>
          </cell>
          <cell r="BC21">
            <v>4.5677269052576529E-4</v>
          </cell>
          <cell r="BD21">
            <v>4.7525259067176894E-4</v>
          </cell>
          <cell r="BE21">
            <v>5.8848793746367738E-4</v>
          </cell>
          <cell r="BF21">
            <v>1.2661659962308832E-4</v>
          </cell>
          <cell r="BG21">
            <v>2.0452888763662172E-4</v>
          </cell>
          <cell r="BH21">
            <v>4.8891974973117199E-4</v>
          </cell>
          <cell r="BI21">
            <v>1.1635167355939183E-4</v>
          </cell>
          <cell r="BJ21">
            <v>2.7170496549146726E-4</v>
          </cell>
          <cell r="BK21">
            <v>0</v>
          </cell>
          <cell r="BL21">
            <v>4.8077045482797508E-4</v>
          </cell>
          <cell r="BM21">
            <v>1.5760264062206881E-4</v>
          </cell>
          <cell r="BN21">
            <v>4.6620647206577123E-4</v>
          </cell>
          <cell r="BO21">
            <v>5.5482535970845183E-4</v>
          </cell>
          <cell r="BP21">
            <v>9.9084848940618719E-5</v>
          </cell>
          <cell r="BQ21">
            <v>5.8334873197234165E-5</v>
          </cell>
          <cell r="BR21">
            <v>4.044316633541224E-5</v>
          </cell>
          <cell r="BS21">
            <v>2.806710985508951E-5</v>
          </cell>
          <cell r="BT21">
            <v>1.7058998059133211E-4</v>
          </cell>
          <cell r="BU21">
            <v>4.8224315244690285E-4</v>
          </cell>
          <cell r="BV21">
            <v>1.5490346392838734E-4</v>
          </cell>
          <cell r="BW21">
            <v>2.5353043659146851E-4</v>
          </cell>
          <cell r="BX21">
            <v>0</v>
          </cell>
          <cell r="BY21">
            <v>6.1537781786500409E-4</v>
          </cell>
          <cell r="BZ21">
            <v>4.0091257536651551E-4</v>
          </cell>
          <cell r="CA21">
            <v>4.8527402383419222E-4</v>
          </cell>
          <cell r="CB21">
            <v>9.1200486523630622E-4</v>
          </cell>
          <cell r="CC21">
            <v>5.7980278985080361E-4</v>
          </cell>
          <cell r="CD21">
            <v>6.3400857935318948E-5</v>
          </cell>
          <cell r="CE21">
            <v>6.4233396643925258E-5</v>
          </cell>
          <cell r="CF21">
            <v>6.7209742001710169E-5</v>
          </cell>
          <cell r="CG21">
            <v>4.4939220244934403E-5</v>
          </cell>
          <cell r="CH21">
            <v>5.7767135522715409E-5</v>
          </cell>
          <cell r="CI21">
            <v>7.9336049441975064E-5</v>
          </cell>
          <cell r="CJ21">
            <v>7.5269146726169979E-5</v>
          </cell>
          <cell r="CK21">
            <v>8.5393882692268183E-5</v>
          </cell>
          <cell r="CL21">
            <v>5.66393537630801E-5</v>
          </cell>
          <cell r="CM21">
            <v>7.3039562277591054E-5</v>
          </cell>
          <cell r="CN21">
            <v>6.7104081320658025E-5</v>
          </cell>
          <cell r="CO21">
            <v>7.0074787840925101E-5</v>
          </cell>
          <cell r="CP21">
            <v>8.6260110497584367E-5</v>
          </cell>
          <cell r="CQ21">
            <v>5.0722512565802647E-5</v>
          </cell>
          <cell r="CR21">
            <v>5.5753818493019028E-5</v>
          </cell>
          <cell r="CS21">
            <v>8.740859481318551E-5</v>
          </cell>
          <cell r="CT21">
            <v>8.0398153210148424E-5</v>
          </cell>
          <cell r="CU21">
            <v>7.0401355510038419E-5</v>
          </cell>
          <cell r="CV21">
            <v>9.172991660518718E-5</v>
          </cell>
          <cell r="CW21">
            <v>6.371073929638149E-5</v>
          </cell>
          <cell r="CX21">
            <v>1.0753432128411044E-4</v>
          </cell>
          <cell r="CY21">
            <v>1.0636158436489802E-4</v>
          </cell>
          <cell r="CZ21">
            <v>1.0782556881243226E-4</v>
          </cell>
          <cell r="DA21">
            <v>1.1241751967569835E-4</v>
          </cell>
          <cell r="DB21">
            <v>1.0824850708936481E-4</v>
          </cell>
          <cell r="DC21">
            <v>1.12527561926223E-4</v>
          </cell>
          <cell r="DD21">
            <v>1.0461382344868177E-4</v>
          </cell>
          <cell r="DE21">
            <v>9.9394555450553137E-5</v>
          </cell>
          <cell r="DF21">
            <v>3.9406786575666786</v>
          </cell>
        </row>
        <row r="22">
          <cell r="A22" t="str">
            <v>Chlorogenic acid</v>
          </cell>
          <cell r="B22">
            <v>7.8823887108754338E-3</v>
          </cell>
          <cell r="C22">
            <v>1.0550031444344854E-2</v>
          </cell>
          <cell r="D22">
            <v>0.28358168316549232</v>
          </cell>
          <cell r="E22">
            <v>4.4442217277369009E-2</v>
          </cell>
          <cell r="F22">
            <v>1.2998651618142868E-2</v>
          </cell>
          <cell r="G22">
            <v>1.2364663804534939E-3</v>
          </cell>
          <cell r="H22">
            <v>9.6624631327920046E-4</v>
          </cell>
          <cell r="I22">
            <v>4.1610211720950486E-4</v>
          </cell>
          <cell r="J22">
            <v>7.0485364939975562E-4</v>
          </cell>
          <cell r="K22">
            <v>6.7926746273215706E-4</v>
          </cell>
          <cell r="L22">
            <v>8.1813603493371219E-4</v>
          </cell>
          <cell r="M22">
            <v>1.0720195660439283E-3</v>
          </cell>
          <cell r="N22">
            <v>5.2310440089807023E-3</v>
          </cell>
          <cell r="O22">
            <v>1.018316425098361E-3</v>
          </cell>
          <cell r="P22">
            <v>1.8403203581717411E-3</v>
          </cell>
          <cell r="Q22">
            <v>6.2040675388739426E-3</v>
          </cell>
          <cell r="R22">
            <v>1.8679193103290908E-3</v>
          </cell>
          <cell r="S22">
            <v>1.2000732161031428E-3</v>
          </cell>
          <cell r="T22">
            <v>4.7998817916652622E-4</v>
          </cell>
          <cell r="U22">
            <v>3.7727189041606535E-3</v>
          </cell>
          <cell r="V22">
            <v>9.5667975526942707E-4</v>
          </cell>
          <cell r="W22">
            <v>4.9286097036360466E-3</v>
          </cell>
          <cell r="X22">
            <v>1.0756205598176139E-3</v>
          </cell>
          <cell r="Y22">
            <v>3.5270605738350582E-4</v>
          </cell>
          <cell r="Z22">
            <v>9.2006802251704141E-4</v>
          </cell>
          <cell r="AA22">
            <v>1.2231934630595224E-3</v>
          </cell>
          <cell r="AB22">
            <v>1.153196445236724E-3</v>
          </cell>
          <cell r="AC22">
            <v>3.6966454552624854E-4</v>
          </cell>
          <cell r="AD22">
            <v>2.3738456641556303E-5</v>
          </cell>
          <cell r="AE22">
            <v>3.5938140473241125E-4</v>
          </cell>
          <cell r="AF22">
            <v>1.8186578837335116E-4</v>
          </cell>
          <cell r="AG22">
            <v>8.3646758917892648E-4</v>
          </cell>
          <cell r="AH22">
            <v>6.2223160339644506E-5</v>
          </cell>
          <cell r="AI22">
            <v>1.4662194673159963E-4</v>
          </cell>
          <cell r="AJ22">
            <v>2.2113446157653342E-4</v>
          </cell>
          <cell r="AK22">
            <v>7.6525434176144937E-4</v>
          </cell>
          <cell r="AL22">
            <v>4.5099502777325769E-4</v>
          </cell>
          <cell r="AM22">
            <v>7.2880183668989679E-5</v>
          </cell>
          <cell r="AN22">
            <v>6.0039742752602233E-5</v>
          </cell>
          <cell r="AO22">
            <v>7.3520682521275839E-5</v>
          </cell>
          <cell r="AP22">
            <v>4.0704139767976165E-4</v>
          </cell>
          <cell r="AQ22">
            <v>3.0095197574399277E-5</v>
          </cell>
          <cell r="AR22">
            <v>6.0238356696697984E-5</v>
          </cell>
          <cell r="AS22">
            <v>1.194219242403551E-4</v>
          </cell>
          <cell r="AT22">
            <v>1.2268402841323045E-4</v>
          </cell>
          <cell r="AU22">
            <v>1.9660080077970267E-4</v>
          </cell>
          <cell r="AV22">
            <v>2.7315233410321187E-4</v>
          </cell>
          <cell r="AW22">
            <v>7.0333804971967832E-5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1.8873848631928997E-4</v>
          </cell>
          <cell r="BC22">
            <v>0</v>
          </cell>
          <cell r="BD22">
            <v>2.2945002802503753E-4</v>
          </cell>
          <cell r="BE22">
            <v>7.8181680947792659E-4</v>
          </cell>
          <cell r="BF22">
            <v>9.3594407903593673E-4</v>
          </cell>
          <cell r="BG22">
            <v>2.2691452401978456E-4</v>
          </cell>
          <cell r="BH22">
            <v>4.3592340511453634E-5</v>
          </cell>
          <cell r="BI22">
            <v>4.652696743103442E-4</v>
          </cell>
          <cell r="BJ22">
            <v>2.918604820789871E-3</v>
          </cell>
          <cell r="BK22">
            <v>5.1133312567132447E-4</v>
          </cell>
          <cell r="BL22">
            <v>4.9645121865769565E-4</v>
          </cell>
          <cell r="BM22">
            <v>1.1793094659920855E-3</v>
          </cell>
          <cell r="BN22">
            <v>1.1748416553048967E-4</v>
          </cell>
          <cell r="BO22">
            <v>2.60553839903986E-4</v>
          </cell>
          <cell r="BP22">
            <v>1.6243199564367879E-4</v>
          </cell>
          <cell r="BQ22">
            <v>1.3892231990073086E-4</v>
          </cell>
          <cell r="BR22">
            <v>2.7496020191513694E-4</v>
          </cell>
          <cell r="BS22">
            <v>2.6878464316990231E-4</v>
          </cell>
          <cell r="BT22">
            <v>2.0596749826731344E-4</v>
          </cell>
          <cell r="BU22">
            <v>0</v>
          </cell>
          <cell r="BV22">
            <v>2.9827803292725377E-4</v>
          </cell>
          <cell r="BW22">
            <v>3.5763054710439792E-4</v>
          </cell>
          <cell r="BX22">
            <v>8.0132939629527387E-4</v>
          </cell>
          <cell r="BY22">
            <v>7.8741045259919358E-5</v>
          </cell>
          <cell r="BZ22">
            <v>1.8368869933573442E-4</v>
          </cell>
          <cell r="CA22">
            <v>2.2101050952168914E-4</v>
          </cell>
          <cell r="CB22">
            <v>3.0078058648323308E-4</v>
          </cell>
          <cell r="CC22">
            <v>1.1312980904545589E-4</v>
          </cell>
          <cell r="CD22">
            <v>6.8596407255163842E-5</v>
          </cell>
          <cell r="CE22">
            <v>8.9101567629627885E-5</v>
          </cell>
          <cell r="CF22">
            <v>1.7653709738054332E-4</v>
          </cell>
          <cell r="CG22">
            <v>4.412558192571557E-5</v>
          </cell>
          <cell r="CH22">
            <v>0</v>
          </cell>
          <cell r="CI22">
            <v>0</v>
          </cell>
          <cell r="CJ22">
            <v>1.9258501732667617E-4</v>
          </cell>
          <cell r="CK22">
            <v>7.8432073056834681E-5</v>
          </cell>
          <cell r="CL22">
            <v>0</v>
          </cell>
          <cell r="CM22">
            <v>2.7913841306706044E-4</v>
          </cell>
          <cell r="CN22">
            <v>0</v>
          </cell>
          <cell r="CO22">
            <v>4.6732560019569718E-5</v>
          </cell>
          <cell r="CP22">
            <v>2.6203009414198523E-5</v>
          </cell>
          <cell r="CQ22">
            <v>2.6710994920467992E-5</v>
          </cell>
          <cell r="CR22">
            <v>0</v>
          </cell>
          <cell r="CS22">
            <v>4.4928550154341951E-5</v>
          </cell>
          <cell r="CT22">
            <v>1.2538258627215669E-4</v>
          </cell>
          <cell r="CU22">
            <v>8.5141867069087119E-5</v>
          </cell>
          <cell r="CV22">
            <v>3.36352671890497E-5</v>
          </cell>
          <cell r="CW22">
            <v>0</v>
          </cell>
          <cell r="CX22">
            <v>6.9785819358352365E-4</v>
          </cell>
          <cell r="CY22">
            <v>6.2527133044506383E-4</v>
          </cell>
          <cell r="CZ22">
            <v>6.4674481174793448E-4</v>
          </cell>
          <cell r="DA22">
            <v>6.3663419375293922E-4</v>
          </cell>
          <cell r="DB22">
            <v>6.4702499943410574E-4</v>
          </cell>
          <cell r="DC22">
            <v>6.348225362303744E-4</v>
          </cell>
          <cell r="DD22">
            <v>6.4532704815017732E-4</v>
          </cell>
          <cell r="DE22">
            <v>6.0725228246956387E-4</v>
          </cell>
          <cell r="DF22">
            <v>4.050863822858072</v>
          </cell>
        </row>
        <row r="23">
          <cell r="A23" t="str">
            <v>4-Acetocatechol</v>
          </cell>
          <cell r="B23">
            <v>1.9054273355108343E-3</v>
          </cell>
          <cell r="C23">
            <v>1.1569682082648415E-3</v>
          </cell>
          <cell r="D23">
            <v>3.9371046219469664E-3</v>
          </cell>
          <cell r="E23">
            <v>1.6278203286584664E-3</v>
          </cell>
          <cell r="F23">
            <v>2.188668836949736E-3</v>
          </cell>
          <cell r="G23">
            <v>4.7277813652865904E-3</v>
          </cell>
          <cell r="H23">
            <v>2.4454082060796486E-3</v>
          </cell>
          <cell r="I23">
            <v>4.9651374645128393E-3</v>
          </cell>
          <cell r="J23">
            <v>2.8851401173188808E-3</v>
          </cell>
          <cell r="K23">
            <v>3.0126248133816318E-3</v>
          </cell>
          <cell r="L23">
            <v>1.767917476359709E-3</v>
          </cell>
          <cell r="M23">
            <v>1.3483471126297956E-3</v>
          </cell>
          <cell r="N23">
            <v>5.6832122878980899E-3</v>
          </cell>
          <cell r="O23">
            <v>2.2248002282592321E-3</v>
          </cell>
          <cell r="P23">
            <v>1.3523092453755741E-3</v>
          </cell>
          <cell r="Q23">
            <v>2.9040042182624176E-3</v>
          </cell>
          <cell r="R23">
            <v>7.4050902445217811E-4</v>
          </cell>
          <cell r="S23">
            <v>9.3615416011076842E-4</v>
          </cell>
          <cell r="T23">
            <v>1.7642458721043642E-3</v>
          </cell>
          <cell r="U23">
            <v>2.4866261001761456E-3</v>
          </cell>
          <cell r="V23">
            <v>2.0107516151814798E-3</v>
          </cell>
          <cell r="W23">
            <v>2.3962939365331907E-3</v>
          </cell>
          <cell r="X23">
            <v>1.158903576790779E-3</v>
          </cell>
          <cell r="Y23">
            <v>2.8639578723416338E-4</v>
          </cell>
          <cell r="Z23">
            <v>1.2252517208900778E-3</v>
          </cell>
          <cell r="AA23">
            <v>7.6748575448936708E-4</v>
          </cell>
          <cell r="AB23">
            <v>8.1784713167724584E-4</v>
          </cell>
          <cell r="AC23">
            <v>8.1482305528597231E-4</v>
          </cell>
          <cell r="AD23">
            <v>1.1321223583555644E-3</v>
          </cell>
          <cell r="AE23">
            <v>1.6080771704974836E-3</v>
          </cell>
          <cell r="AF23">
            <v>5.7051063706697728E-4</v>
          </cell>
          <cell r="AG23">
            <v>2.5117735290659565E-4</v>
          </cell>
          <cell r="AH23">
            <v>4.5873952501698334E-4</v>
          </cell>
          <cell r="AI23">
            <v>3.6946101435146378E-4</v>
          </cell>
          <cell r="AJ23">
            <v>2.6895650822055401E-4</v>
          </cell>
          <cell r="AK23">
            <v>6.6828299543405774E-4</v>
          </cell>
          <cell r="AL23">
            <v>5.7152840885820269E-4</v>
          </cell>
          <cell r="AM23">
            <v>4.7399054307697026E-4</v>
          </cell>
          <cell r="AN23">
            <v>4.9472471435986606E-4</v>
          </cell>
          <cell r="AO23">
            <v>3.4859583966926011E-4</v>
          </cell>
          <cell r="AP23">
            <v>3.6164817302695377E-4</v>
          </cell>
          <cell r="AQ23">
            <v>4.5361644176335647E-4</v>
          </cell>
          <cell r="AR23">
            <v>2.119621327870134E-4</v>
          </cell>
          <cell r="AS23">
            <v>2.7496920911800635E-4</v>
          </cell>
          <cell r="AT23">
            <v>2.8071261298031805E-4</v>
          </cell>
          <cell r="AU23">
            <v>3.2469658419068283E-4</v>
          </cell>
          <cell r="AV23">
            <v>4.6328054214693471E-4</v>
          </cell>
          <cell r="AW23">
            <v>3.5754226311094484E-4</v>
          </cell>
          <cell r="AX23">
            <v>2.093155238823014E-4</v>
          </cell>
          <cell r="AY23">
            <v>2.8812732879599407E-4</v>
          </cell>
          <cell r="AZ23">
            <v>2.2591188827039764E-4</v>
          </cell>
          <cell r="BA23">
            <v>3.1430447583244463E-4</v>
          </cell>
          <cell r="BB23">
            <v>2.7843282282994118E-4</v>
          </cell>
          <cell r="BC23">
            <v>1.9041075755664067E-4</v>
          </cell>
          <cell r="BD23">
            <v>1.8115443554105257E-4</v>
          </cell>
          <cell r="BE23">
            <v>1.0315648173191568E-3</v>
          </cell>
          <cell r="BF23">
            <v>7.3617503682097221E-4</v>
          </cell>
          <cell r="BG23">
            <v>1.7538439498139945E-3</v>
          </cell>
          <cell r="BH23">
            <v>6.028918490169913E-4</v>
          </cell>
          <cell r="BI23">
            <v>1.0190242302433401E-3</v>
          </cell>
          <cell r="BJ23">
            <v>1.8417233670568922E-3</v>
          </cell>
          <cell r="BK23">
            <v>1.639139171614946E-3</v>
          </cell>
          <cell r="BL23">
            <v>4.8459580065444383E-4</v>
          </cell>
          <cell r="BM23">
            <v>9.8009741696027564E-4</v>
          </cell>
          <cell r="BN23">
            <v>7.2038794683673224E-4</v>
          </cell>
          <cell r="BO23">
            <v>3.6578917911259367E-4</v>
          </cell>
          <cell r="BP23">
            <v>4.9103890522144583E-4</v>
          </cell>
          <cell r="BQ23">
            <v>5.3271701409783633E-4</v>
          </cell>
          <cell r="BR23">
            <v>3.643685066680562E-4</v>
          </cell>
          <cell r="BS23">
            <v>3.8114610324923621E-4</v>
          </cell>
          <cell r="BT23">
            <v>3.7806004299908546E-4</v>
          </cell>
          <cell r="BU23">
            <v>3.3467240317456198E-4</v>
          </cell>
          <cell r="BV23">
            <v>1.3813704429202261E-3</v>
          </cell>
          <cell r="BW23">
            <v>6.5269165811121153E-4</v>
          </cell>
          <cell r="BX23">
            <v>1.3090194609659718E-3</v>
          </cell>
          <cell r="BY23">
            <v>6.6747497917451614E-4</v>
          </cell>
          <cell r="BZ23">
            <v>3.4473509438777991E-4</v>
          </cell>
          <cell r="CA23">
            <v>2.6446382219182823E-4</v>
          </cell>
          <cell r="CB23">
            <v>6.4279066901589701E-4</v>
          </cell>
          <cell r="CC23">
            <v>4.4497509352593484E-4</v>
          </cell>
          <cell r="CD23">
            <v>1.3353705742861763E-3</v>
          </cell>
          <cell r="CE23">
            <v>1.65356224498599E-3</v>
          </cell>
          <cell r="CF23">
            <v>1.5902505672121753E-3</v>
          </cell>
          <cell r="CG23">
            <v>8.5991727789525268E-4</v>
          </cell>
          <cell r="CH23">
            <v>1.0116204128417857E-3</v>
          </cell>
          <cell r="CI23">
            <v>2.3724903639156989E-3</v>
          </cell>
          <cell r="CJ23">
            <v>1.4294050177393902E-3</v>
          </cell>
          <cell r="CK23">
            <v>1.3477541095755514E-3</v>
          </cell>
          <cell r="CL23">
            <v>1.6102572475387175E-3</v>
          </cell>
          <cell r="CM23">
            <v>1.2230930755430171E-3</v>
          </cell>
          <cell r="CN23">
            <v>1.0269756210169697E-3</v>
          </cell>
          <cell r="CO23">
            <v>4.8151487318318168E-4</v>
          </cell>
          <cell r="CP23">
            <v>9.6846221184249527E-4</v>
          </cell>
          <cell r="CQ23">
            <v>4.6913074293764142E-4</v>
          </cell>
          <cell r="CR23">
            <v>8.2224279794394621E-4</v>
          </cell>
          <cell r="CS23">
            <v>1.205944110992988E-3</v>
          </cell>
          <cell r="CT23">
            <v>1.0002219705955121E-3</v>
          </cell>
          <cell r="CU23">
            <v>1.8433427879046766E-3</v>
          </cell>
          <cell r="CV23">
            <v>9.5589843970592212E-4</v>
          </cell>
          <cell r="CW23">
            <v>1.6197793245921964E-3</v>
          </cell>
          <cell r="CX23">
            <v>7.6295647999607052E-4</v>
          </cell>
          <cell r="CY23">
            <v>6.9417255225734831E-4</v>
          </cell>
          <cell r="CZ23">
            <v>6.8442086696036931E-4</v>
          </cell>
          <cell r="DA23">
            <v>6.8280432838214468E-4</v>
          </cell>
          <cell r="DB23">
            <v>6.9111877660937198E-4</v>
          </cell>
          <cell r="DC23">
            <v>6.7112269098567332E-4</v>
          </cell>
          <cell r="DD23">
            <v>7.0810836726790884E-4</v>
          </cell>
          <cell r="DE23">
            <v>6.5961732980719591E-4</v>
          </cell>
          <cell r="DF23">
            <v>4.5169072888102786</v>
          </cell>
        </row>
        <row r="24">
          <cell r="A24" t="str">
            <v>(Isomer 2,3-/2,4-/2,6-)DHB acid</v>
          </cell>
          <cell r="B24">
            <v>5.7663459996532896E-4</v>
          </cell>
          <cell r="C24">
            <v>6.3530908479208722E-4</v>
          </cell>
          <cell r="D24">
            <v>5.2317811014701977E-4</v>
          </cell>
          <cell r="E24">
            <v>1.1357178482450517E-3</v>
          </cell>
          <cell r="F24">
            <v>0</v>
          </cell>
          <cell r="G24">
            <v>1.4918790093586261E-3</v>
          </cell>
          <cell r="H24">
            <v>2.4906560727735866E-3</v>
          </cell>
          <cell r="I24">
            <v>0</v>
          </cell>
          <cell r="J24">
            <v>0</v>
          </cell>
          <cell r="K24">
            <v>1.3314231668024991E-3</v>
          </cell>
          <cell r="L24">
            <v>1.0197842867099639E-3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3.849444984916055E-3</v>
          </cell>
          <cell r="R24">
            <v>9.3975727487730261E-4</v>
          </cell>
          <cell r="S24">
            <v>0</v>
          </cell>
          <cell r="T24">
            <v>3.3519611361511798E-3</v>
          </cell>
          <cell r="U24">
            <v>6.1228535890843951E-3</v>
          </cell>
          <cell r="V24">
            <v>3.1526465797302836E-3</v>
          </cell>
          <cell r="W24">
            <v>1.6222647565498061E-3</v>
          </cell>
          <cell r="X24">
            <v>3.1206568467197463E-3</v>
          </cell>
          <cell r="Y24">
            <v>1.8261396590308753E-4</v>
          </cell>
          <cell r="Z24">
            <v>3.7037415004131211E-3</v>
          </cell>
          <cell r="AA24">
            <v>5.1290567600587892E-3</v>
          </cell>
          <cell r="AB24">
            <v>6.1644238344792004E-4</v>
          </cell>
          <cell r="AC24">
            <v>1.4655810692622527E-3</v>
          </cell>
          <cell r="AD24">
            <v>8.649037603158696E-4</v>
          </cell>
          <cell r="AE24">
            <v>0</v>
          </cell>
          <cell r="AF24">
            <v>2.1632386388925617E-3</v>
          </cell>
          <cell r="AG24">
            <v>1.1178664839452445E-3</v>
          </cell>
          <cell r="AH24">
            <v>8.045793094486306E-4</v>
          </cell>
          <cell r="AI24">
            <v>1.8572313998262964E-3</v>
          </cell>
          <cell r="AJ24">
            <v>7.536468813537097E-4</v>
          </cell>
          <cell r="AK24">
            <v>4.030217410029467E-3</v>
          </cell>
          <cell r="AL24">
            <v>1.2523500287296275E-2</v>
          </cell>
          <cell r="AM24">
            <v>2.2189076644031445E-3</v>
          </cell>
          <cell r="AN24">
            <v>1.4491159069542304E-3</v>
          </cell>
          <cell r="AO24">
            <v>1.9158322362982584E-3</v>
          </cell>
          <cell r="AP24">
            <v>4.5672076449857261E-4</v>
          </cell>
          <cell r="AQ24">
            <v>4.7828689011646585E-4</v>
          </cell>
          <cell r="AR24">
            <v>2.8170472933795518E-4</v>
          </cell>
          <cell r="AS24">
            <v>2.9446843880176954E-4</v>
          </cell>
          <cell r="AT24">
            <v>9.4329899469791233E-4</v>
          </cell>
          <cell r="AU24">
            <v>4.6367101732391311E-4</v>
          </cell>
          <cell r="AV24">
            <v>4.185577760293957E-4</v>
          </cell>
          <cell r="AW24">
            <v>7.608406467057272E-4</v>
          </cell>
          <cell r="AX24">
            <v>3.3870753556083466E-4</v>
          </cell>
          <cell r="AY24">
            <v>2.8083402292273119E-4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1.3284775906306323E-3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3.4259310716501386E-3</v>
          </cell>
          <cell r="BK24">
            <v>0</v>
          </cell>
          <cell r="BL24">
            <v>0</v>
          </cell>
          <cell r="BM24">
            <v>0</v>
          </cell>
          <cell r="BN24">
            <v>7.9674143815188815E-4</v>
          </cell>
          <cell r="BO24">
            <v>5.9478242643692535E-4</v>
          </cell>
          <cell r="BP24">
            <v>7.7667787917798392E-4</v>
          </cell>
          <cell r="BQ24">
            <v>2.3931341244104441E-3</v>
          </cell>
          <cell r="BR24">
            <v>3.0997097806799559E-4</v>
          </cell>
          <cell r="BS24">
            <v>0</v>
          </cell>
          <cell r="BT24">
            <v>2.3900521942167574E-3</v>
          </cell>
          <cell r="BU24">
            <v>0</v>
          </cell>
          <cell r="BV24">
            <v>0</v>
          </cell>
          <cell r="BW24">
            <v>0</v>
          </cell>
          <cell r="BX24">
            <v>1.9550676695869111E-3</v>
          </cell>
          <cell r="BY24">
            <v>1.1647454845021122E-2</v>
          </cell>
          <cell r="BZ24">
            <v>0</v>
          </cell>
          <cell r="CA24">
            <v>0</v>
          </cell>
          <cell r="CB24">
            <v>0</v>
          </cell>
          <cell r="CC24">
            <v>8.7031845434812837E-4</v>
          </cell>
          <cell r="CD24">
            <v>8.026435565851248E-4</v>
          </cell>
          <cell r="CE24">
            <v>7.4290750383589746E-5</v>
          </cell>
          <cell r="CF24">
            <v>9.5465754330852212E-5</v>
          </cell>
          <cell r="CG24">
            <v>1.3823310700488316E-3</v>
          </cell>
          <cell r="CH24">
            <v>7.6917062225502367E-4</v>
          </cell>
          <cell r="CI24">
            <v>1.0341232976817289E-3</v>
          </cell>
          <cell r="CJ24">
            <v>9.1051783575788793E-4</v>
          </cell>
          <cell r="CK24">
            <v>1.3070410165081795E-3</v>
          </cell>
          <cell r="CL24">
            <v>3.6631717050468281E-4</v>
          </cell>
          <cell r="CM24">
            <v>8.3444172155065994E-4</v>
          </cell>
          <cell r="CN24">
            <v>0</v>
          </cell>
          <cell r="CO24">
            <v>2.1335719638640527E-3</v>
          </cell>
          <cell r="CP24">
            <v>5.1641796556277267E-4</v>
          </cell>
          <cell r="CQ24">
            <v>1.1563284969038552E-3</v>
          </cell>
          <cell r="CR24">
            <v>1.8034203239047613E-4</v>
          </cell>
          <cell r="CS24">
            <v>7.2092982397748101E-4</v>
          </cell>
          <cell r="CT24">
            <v>5.7195508914965106E-4</v>
          </cell>
          <cell r="CU24">
            <v>4.0859877893539663E-4</v>
          </cell>
          <cell r="CV24">
            <v>1.0227079635382989E-3</v>
          </cell>
          <cell r="CW24">
            <v>4.3715332290133357E-4</v>
          </cell>
          <cell r="CX24">
            <v>5.6125504035203766E-4</v>
          </cell>
          <cell r="CY24">
            <v>5.4929206501499301E-4</v>
          </cell>
          <cell r="CZ24">
            <v>5.3790703270298963E-4</v>
          </cell>
          <cell r="DA24">
            <v>5.530435087632709E-4</v>
          </cell>
          <cell r="DB24">
            <v>5.2896126645547985E-4</v>
          </cell>
          <cell r="DC24">
            <v>5.5328959713261754E-4</v>
          </cell>
          <cell r="DD24">
            <v>5.9857855776081616E-4</v>
          </cell>
          <cell r="DE24">
            <v>4.9286722040176349E-4</v>
          </cell>
          <cell r="DF24">
            <v>5.478171469768407</v>
          </cell>
        </row>
        <row r="25">
          <cell r="A25" t="str">
            <v>Gallic acid</v>
          </cell>
          <cell r="B25">
            <v>3.1002835801801075E-4</v>
          </cell>
          <cell r="C25">
            <v>2.6841021851901236E-4</v>
          </cell>
          <cell r="D25">
            <v>2.0983206292449639E-4</v>
          </cell>
          <cell r="E25">
            <v>3.0119163401290871E-4</v>
          </cell>
          <cell r="F25">
            <v>0</v>
          </cell>
          <cell r="G25">
            <v>4.4752171019744229E-4</v>
          </cell>
          <cell r="H25">
            <v>4.8695932654225496E-4</v>
          </cell>
          <cell r="I25">
            <v>2.7441899122935387E-4</v>
          </cell>
          <cell r="J25">
            <v>0</v>
          </cell>
          <cell r="K25">
            <v>1.7193332294122553E-4</v>
          </cell>
          <cell r="L25">
            <v>3.150555504372977E-4</v>
          </cell>
          <cell r="M25">
            <v>2.3018590536932998E-4</v>
          </cell>
          <cell r="N25">
            <v>0</v>
          </cell>
          <cell r="O25">
            <v>1.0225233422712506E-4</v>
          </cell>
          <cell r="P25">
            <v>2.1000095526391843E-4</v>
          </cell>
          <cell r="Q25">
            <v>9.1957660533753007E-4</v>
          </cell>
          <cell r="R25">
            <v>1.9900521781540911E-4</v>
          </cell>
          <cell r="S25">
            <v>7.1114713719563221E-4</v>
          </cell>
          <cell r="T25">
            <v>5.3867814982533552E-4</v>
          </cell>
          <cell r="U25">
            <v>7.8468971143494913E-4</v>
          </cell>
          <cell r="V25">
            <v>4.592545733543303E-4</v>
          </cell>
          <cell r="W25">
            <v>3.0913149682988499E-4</v>
          </cell>
          <cell r="X25">
            <v>8.4755616344204553E-5</v>
          </cell>
          <cell r="Y25">
            <v>4.534862877977323E-5</v>
          </cell>
          <cell r="Z25">
            <v>9.8129487864509352E-5</v>
          </cell>
          <cell r="AA25">
            <v>1.447497641874412E-4</v>
          </cell>
          <cell r="AB25">
            <v>9.2192638836108783E-5</v>
          </cell>
          <cell r="AC25">
            <v>0</v>
          </cell>
          <cell r="AD25">
            <v>0</v>
          </cell>
          <cell r="AE25">
            <v>7.9277047194617443E-5</v>
          </cell>
          <cell r="AF25">
            <v>2.9116421003377031E-5</v>
          </cell>
          <cell r="AG25">
            <v>5.3148438005441243E-5</v>
          </cell>
          <cell r="AH25">
            <v>4.9920946513195183E-5</v>
          </cell>
          <cell r="AI25">
            <v>8.7160594069095551E-5</v>
          </cell>
          <cell r="AJ25">
            <v>1.1736813598036757E-4</v>
          </cell>
          <cell r="AK25">
            <v>2.1392972640198093E-4</v>
          </cell>
          <cell r="AL25">
            <v>3.1357467443402399E-4</v>
          </cell>
          <cell r="AM25">
            <v>3.838204915039379E-5</v>
          </cell>
          <cell r="AN25">
            <v>5.3087102379848701E-5</v>
          </cell>
          <cell r="AO25">
            <v>7.7435872002179983E-5</v>
          </cell>
          <cell r="AP25">
            <v>6.0037997563908473E-5</v>
          </cell>
          <cell r="AQ25">
            <v>3.2750187495267592E-5</v>
          </cell>
          <cell r="AR25">
            <v>2.7845958317392203E-5</v>
          </cell>
          <cell r="AS25">
            <v>2.6178918842942209E-5</v>
          </cell>
          <cell r="AT25">
            <v>5.6956824561424302E-5</v>
          </cell>
          <cell r="AU25">
            <v>3.4390454176924518E-5</v>
          </cell>
          <cell r="AV25">
            <v>4.2594931313117397E-5</v>
          </cell>
          <cell r="AW25">
            <v>6.2820138920222072E-5</v>
          </cell>
          <cell r="AX25">
            <v>2.7461744948938474E-5</v>
          </cell>
          <cell r="AY25">
            <v>1.9875772544273099E-5</v>
          </cell>
          <cell r="AZ25">
            <v>4.4453119752168566E-5</v>
          </cell>
          <cell r="BA25">
            <v>3.802840329279671E-5</v>
          </cell>
          <cell r="BB25">
            <v>3.2729642211615299E-5</v>
          </cell>
          <cell r="BC25">
            <v>0</v>
          </cell>
          <cell r="BD25">
            <v>0</v>
          </cell>
          <cell r="BE25">
            <v>2.0384236450448397E-4</v>
          </cell>
          <cell r="BF25">
            <v>3.3519143601945311E-4</v>
          </cell>
          <cell r="BG25">
            <v>0</v>
          </cell>
          <cell r="BH25">
            <v>4.4683883548780525E-5</v>
          </cell>
          <cell r="BI25">
            <v>1.8896553761103724E-4</v>
          </cell>
          <cell r="BJ25">
            <v>4.3116812715458043E-4</v>
          </cell>
          <cell r="BK25">
            <v>2.860432037804923E-4</v>
          </cell>
          <cell r="BL25">
            <v>0</v>
          </cell>
          <cell r="BM25">
            <v>2.8390587361473257E-4</v>
          </cell>
          <cell r="BN25">
            <v>1.9809370377825319E-4</v>
          </cell>
          <cell r="BO25">
            <v>1.8287412402896377E-4</v>
          </cell>
          <cell r="BP25">
            <v>1.7475757811261509E-4</v>
          </cell>
          <cell r="BQ25">
            <v>0</v>
          </cell>
          <cell r="BR25">
            <v>1.0601525981469659E-4</v>
          </cell>
          <cell r="BS25">
            <v>2.1963747268293379E-4</v>
          </cell>
          <cell r="BT25">
            <v>2.5595519374048718E-4</v>
          </cell>
          <cell r="BU25">
            <v>7.5560659590611365E-5</v>
          </cell>
          <cell r="BV25">
            <v>2.5050716789985452E-4</v>
          </cell>
          <cell r="BW25">
            <v>0</v>
          </cell>
          <cell r="BX25">
            <v>3.9581174395340185E-4</v>
          </cell>
          <cell r="BY25">
            <v>1.0764971858663243E-4</v>
          </cell>
          <cell r="BZ25">
            <v>3.9102023937871778E-5</v>
          </cell>
          <cell r="CA25">
            <v>3.7129141001820723E-5</v>
          </cell>
          <cell r="CB25">
            <v>1.0809877487730073E-4</v>
          </cell>
          <cell r="CC25">
            <v>2.0299752402207541E-3</v>
          </cell>
          <cell r="CD25">
            <v>2.3264187906476382E-5</v>
          </cell>
          <cell r="CE25">
            <v>2.1333226565916545E-5</v>
          </cell>
          <cell r="CF25">
            <v>1.9734964619495305E-5</v>
          </cell>
          <cell r="CG25">
            <v>6.0335243801882482E-5</v>
          </cell>
          <cell r="CH25">
            <v>2.9931124229825664E-5</v>
          </cell>
          <cell r="CI25">
            <v>5.1273901817688372E-5</v>
          </cell>
          <cell r="CJ25">
            <v>3.5704056957664058E-5</v>
          </cell>
          <cell r="CK25">
            <v>3.1365496293724726E-5</v>
          </cell>
          <cell r="CL25">
            <v>3.0458389178471146E-5</v>
          </cell>
          <cell r="CM25">
            <v>0</v>
          </cell>
          <cell r="CN25">
            <v>0</v>
          </cell>
          <cell r="CO25">
            <v>3.3248296209513763E-5</v>
          </cell>
          <cell r="CP25">
            <v>1.9864182551944483E-5</v>
          </cell>
          <cell r="CQ25">
            <v>4.3973157069464464E-5</v>
          </cell>
          <cell r="CR25">
            <v>1.3712030874065986E-5</v>
          </cell>
          <cell r="CS25">
            <v>4.049738219639434E-5</v>
          </cell>
          <cell r="CT25">
            <v>3.1361181522009772E-5</v>
          </cell>
          <cell r="CU25">
            <v>3.1694977142412203E-5</v>
          </cell>
          <cell r="CV25">
            <v>0</v>
          </cell>
          <cell r="CW25">
            <v>1.5671020219338461E-5</v>
          </cell>
          <cell r="CX25">
            <v>3.427521092095661E-5</v>
          </cell>
          <cell r="CY25">
            <v>3.0759927397865786E-5</v>
          </cell>
          <cell r="CZ25">
            <v>3.1706034620868188E-5</v>
          </cell>
          <cell r="DA25">
            <v>2.9764720391640074E-5</v>
          </cell>
          <cell r="DB25">
            <v>3.1641566676874131E-5</v>
          </cell>
          <cell r="DC25">
            <v>3.1855597081565619E-5</v>
          </cell>
          <cell r="DD25">
            <v>2.8219833878808108E-5</v>
          </cell>
          <cell r="DE25">
            <v>3.0041486253493002E-5</v>
          </cell>
          <cell r="DF25">
            <v>5.7890086909225671</v>
          </cell>
        </row>
        <row r="26">
          <cell r="A26" t="str">
            <v>(+)-Catechin (Hydrate)</v>
          </cell>
          <cell r="B26">
            <v>9.702331327670984E-5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5.3321872901119821E-4</v>
          </cell>
          <cell r="Q26">
            <v>0</v>
          </cell>
          <cell r="R26">
            <v>2.4971297168975006E-4</v>
          </cell>
          <cell r="S26">
            <v>0</v>
          </cell>
          <cell r="T26">
            <v>0</v>
          </cell>
          <cell r="U26">
            <v>1.531497653107009E-4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3.007880884140303E-4</v>
          </cell>
          <cell r="AB26">
            <v>0</v>
          </cell>
          <cell r="AC26">
            <v>1.9199037696877748E-5</v>
          </cell>
          <cell r="AD26">
            <v>5.13048779058668E-5</v>
          </cell>
          <cell r="AE26">
            <v>0</v>
          </cell>
          <cell r="AF26">
            <v>9.521005075929544E-5</v>
          </cell>
          <cell r="AG26">
            <v>0</v>
          </cell>
          <cell r="AH26">
            <v>4.9960530966525233E-5</v>
          </cell>
          <cell r="AI26">
            <v>6.3548083892168855E-5</v>
          </cell>
          <cell r="AJ26">
            <v>0</v>
          </cell>
          <cell r="AK26">
            <v>0</v>
          </cell>
          <cell r="AL26">
            <v>0</v>
          </cell>
          <cell r="AM26">
            <v>4.0744677958066749E-5</v>
          </cell>
          <cell r="AN26">
            <v>0</v>
          </cell>
          <cell r="AO26">
            <v>0</v>
          </cell>
          <cell r="AP26">
            <v>0</v>
          </cell>
          <cell r="AQ26">
            <v>2.4848858042343547E-5</v>
          </cell>
          <cell r="AR26">
            <v>2.9245876161098814E-5</v>
          </cell>
          <cell r="AS26">
            <v>0</v>
          </cell>
          <cell r="AT26">
            <v>0</v>
          </cell>
          <cell r="AU26">
            <v>2.6147298430535179E-5</v>
          </cell>
          <cell r="AV26">
            <v>4.3078071368010876E-5</v>
          </cell>
          <cell r="AW26">
            <v>0</v>
          </cell>
          <cell r="AX26">
            <v>0</v>
          </cell>
          <cell r="AY26">
            <v>0</v>
          </cell>
          <cell r="AZ26">
            <v>5.7540720584342888E-5</v>
          </cell>
          <cell r="BA26">
            <v>1.2556662565448248E-4</v>
          </cell>
          <cell r="BB26">
            <v>6.3925160468517842E-4</v>
          </cell>
          <cell r="BC26">
            <v>2.486892731253231E-4</v>
          </cell>
          <cell r="BD26">
            <v>1.9335581785640552E-4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6.194569553162694E-5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7.0845851474729711E-4</v>
          </cell>
          <cell r="BZ26">
            <v>3.3093428295171464E-4</v>
          </cell>
          <cell r="CA26">
            <v>3.5815274743867967E-4</v>
          </cell>
          <cell r="CB26">
            <v>1.4190676035654682E-4</v>
          </cell>
          <cell r="CC26">
            <v>6.2842579024949616E-5</v>
          </cell>
          <cell r="CD26">
            <v>1.1282567964709399E-4</v>
          </cell>
          <cell r="CE26">
            <v>1.8000878605151712E-4</v>
          </cell>
          <cell r="CF26">
            <v>5.3654966515369825E-5</v>
          </cell>
          <cell r="CG26">
            <v>8.3128086000085181E-5</v>
          </cell>
          <cell r="CH26">
            <v>6.5561044275813814E-5</v>
          </cell>
          <cell r="CI26">
            <v>5.027569999468761E-4</v>
          </cell>
          <cell r="CJ26">
            <v>3.0924542375740778E-4</v>
          </cell>
          <cell r="CK26">
            <v>5.1184459759117838E-4</v>
          </cell>
          <cell r="CL26">
            <v>1.3426903636325245E-4</v>
          </cell>
          <cell r="CM26">
            <v>2.3855033769590634E-4</v>
          </cell>
          <cell r="CN26">
            <v>3.0056136988726087E-4</v>
          </cell>
          <cell r="CO26">
            <v>8.2458180795237006E-5</v>
          </cell>
          <cell r="CP26">
            <v>1.0330786637214006E-4</v>
          </cell>
          <cell r="CQ26">
            <v>0</v>
          </cell>
          <cell r="CR26">
            <v>1.0606780583619787E-4</v>
          </cell>
          <cell r="CS26">
            <v>9.1156992146411623E-5</v>
          </cell>
          <cell r="CT26">
            <v>1.1178738093591598E-4</v>
          </cell>
          <cell r="CU26">
            <v>1.7453283920129811E-4</v>
          </cell>
          <cell r="CV26">
            <v>8.8280435397716079E-5</v>
          </cell>
          <cell r="CW26">
            <v>1.3419569224477172E-4</v>
          </cell>
          <cell r="CX26">
            <v>1.5763080936132497E-4</v>
          </cell>
          <cell r="CY26">
            <v>1.4747245272201827E-4</v>
          </cell>
          <cell r="CZ26">
            <v>1.3253540690767699E-4</v>
          </cell>
          <cell r="DA26">
            <v>1.3988421347980941E-4</v>
          </cell>
          <cell r="DB26">
            <v>1.5029919279613824E-4</v>
          </cell>
          <cell r="DC26">
            <v>1.3922683661510754E-4</v>
          </cell>
          <cell r="DD26">
            <v>1.4197553826141251E-4</v>
          </cell>
          <cell r="DE26">
            <v>1.3360751570273477E-4</v>
          </cell>
          <cell r="DF26">
            <v>5.9751206960386982</v>
          </cell>
        </row>
        <row r="27">
          <cell r="A27" t="str">
            <v>Syringic acid</v>
          </cell>
          <cell r="B27">
            <v>3.7033526938001716E-4</v>
          </cell>
          <cell r="C27">
            <v>4.4502024678093999E-4</v>
          </cell>
          <cell r="D27">
            <v>2.714619241110594E-4</v>
          </cell>
          <cell r="E27">
            <v>4.4969647033496095E-4</v>
          </cell>
          <cell r="F27">
            <v>5.5352158615321306E-4</v>
          </cell>
          <cell r="G27">
            <v>1.5936009557075765E-4</v>
          </cell>
          <cell r="H27">
            <v>9.9404180114745369E-5</v>
          </cell>
          <cell r="I27">
            <v>3.0200810261617737E-4</v>
          </cell>
          <cell r="J27">
            <v>0</v>
          </cell>
          <cell r="K27">
            <v>1.6785896154627043E-4</v>
          </cell>
          <cell r="L27">
            <v>1.1965330323814484E-4</v>
          </cell>
          <cell r="M27">
            <v>5.356830783499694E-5</v>
          </cell>
          <cell r="N27">
            <v>1.6998757204229612E-4</v>
          </cell>
          <cell r="O27">
            <v>8.5631967331829784E-5</v>
          </cell>
          <cell r="P27">
            <v>1.8571582875625783E-4</v>
          </cell>
          <cell r="Q27">
            <v>2.1003736423258465E-4</v>
          </cell>
          <cell r="R27">
            <v>0</v>
          </cell>
          <cell r="S27">
            <v>0</v>
          </cell>
          <cell r="T27">
            <v>0</v>
          </cell>
          <cell r="U27">
            <v>1.8714937868172341E-4</v>
          </cell>
          <cell r="V27">
            <v>1.5446592993629735E-4</v>
          </cell>
          <cell r="W27">
            <v>1.8243736353163012E-4</v>
          </cell>
          <cell r="X27">
            <v>5.2755055310881017E-5</v>
          </cell>
          <cell r="Y27">
            <v>0</v>
          </cell>
          <cell r="Z27">
            <v>8.7154019427789875E-5</v>
          </cell>
          <cell r="AA27">
            <v>3.8784226989043818E-4</v>
          </cell>
          <cell r="AB27">
            <v>1.2065571164264217E-4</v>
          </cell>
          <cell r="AC27">
            <v>3.5661117977941104E-4</v>
          </cell>
          <cell r="AD27">
            <v>2.0811442972731991E-4</v>
          </cell>
          <cell r="AE27">
            <v>3.5589917728741854E-4</v>
          </cell>
          <cell r="AF27">
            <v>1.1342060774886017E-4</v>
          </cell>
          <cell r="AG27">
            <v>4.3392267728687148E-5</v>
          </cell>
          <cell r="AH27">
            <v>4.938154204985248E-5</v>
          </cell>
          <cell r="AI27">
            <v>0</v>
          </cell>
          <cell r="AJ27">
            <v>2.5489200543347875E-5</v>
          </cell>
          <cell r="AK27">
            <v>7.2656345861576321E-5</v>
          </cell>
          <cell r="AL27">
            <v>4.8110278583614441E-5</v>
          </cell>
          <cell r="AM27">
            <v>4.7529643028051059E-5</v>
          </cell>
          <cell r="AN27">
            <v>2.1676426067566943E-5</v>
          </cell>
          <cell r="AO27">
            <v>2.2322232464134535E-5</v>
          </cell>
          <cell r="AP27">
            <v>1.4910771890493268E-5</v>
          </cell>
          <cell r="AQ27">
            <v>0</v>
          </cell>
          <cell r="AR27">
            <v>1.0026678956562652E-5</v>
          </cell>
          <cell r="AS27">
            <v>1.2203545733977726E-5</v>
          </cell>
          <cell r="AT27">
            <v>1.4476736971809787E-5</v>
          </cell>
          <cell r="AU27">
            <v>0</v>
          </cell>
          <cell r="AV27">
            <v>1.6959743792927499E-5</v>
          </cell>
          <cell r="AW27">
            <v>1.2057998227430305E-5</v>
          </cell>
          <cell r="AX27">
            <v>0</v>
          </cell>
          <cell r="AY27">
            <v>1.3788776532123784E-5</v>
          </cell>
          <cell r="AZ27">
            <v>1.6485867387195716E-4</v>
          </cell>
          <cell r="BA27">
            <v>2.70087664626449E-4</v>
          </cell>
          <cell r="BB27">
            <v>1.825109467277094E-4</v>
          </cell>
          <cell r="BC27">
            <v>1.7371122695689295E-4</v>
          </cell>
          <cell r="BD27">
            <v>3.4974060233625192E-4</v>
          </cell>
          <cell r="BE27">
            <v>1.9631985742582083E-4</v>
          </cell>
          <cell r="BF27">
            <v>2.3323379940093711E-4</v>
          </cell>
          <cell r="BG27">
            <v>2.0588982445920816E-4</v>
          </cell>
          <cell r="BH27">
            <v>7.4231255469386207E-5</v>
          </cell>
          <cell r="BI27">
            <v>2.2202676382404669E-4</v>
          </cell>
          <cell r="BJ27">
            <v>0</v>
          </cell>
          <cell r="BK27">
            <v>1.2428740550131793E-4</v>
          </cell>
          <cell r="BL27">
            <v>1.6392215392159659E-5</v>
          </cell>
          <cell r="BM27">
            <v>2.1558362868480697E-4</v>
          </cell>
          <cell r="BN27">
            <v>0</v>
          </cell>
          <cell r="BO27">
            <v>6.6427810187752586E-5</v>
          </cell>
          <cell r="BP27">
            <v>0</v>
          </cell>
          <cell r="BQ27">
            <v>7.4041574211712444E-5</v>
          </cell>
          <cell r="BR27">
            <v>7.1586482830633062E-5</v>
          </cell>
          <cell r="BS27">
            <v>9.7238215797181983E-5</v>
          </cell>
          <cell r="BT27">
            <v>0</v>
          </cell>
          <cell r="BU27">
            <v>3.0466757927694269E-5</v>
          </cell>
          <cell r="BV27">
            <v>4.3058817806661753E-4</v>
          </cell>
          <cell r="BW27">
            <v>2.893090850106772E-5</v>
          </cell>
          <cell r="BX27">
            <v>1.0691373560128553E-4</v>
          </cell>
          <cell r="BY27">
            <v>1.9803647300764253E-4</v>
          </cell>
          <cell r="BZ27">
            <v>1.7133261848714513E-4</v>
          </cell>
          <cell r="CA27">
            <v>1.9589963296427155E-4</v>
          </cell>
          <cell r="CB27">
            <v>3.1775018321200145E-4</v>
          </cell>
          <cell r="CC27">
            <v>2.4199402981057392E-4</v>
          </cell>
          <cell r="CD27">
            <v>3.5600922467270374E-5</v>
          </cell>
          <cell r="CE27">
            <v>6.0554088650570063E-5</v>
          </cell>
          <cell r="CF27">
            <v>4.5229893121843067E-5</v>
          </cell>
          <cell r="CG27">
            <v>2.8235717001180426E-5</v>
          </cell>
          <cell r="CH27">
            <v>1.5642246319727155E-5</v>
          </cell>
          <cell r="CI27">
            <v>5.1216736076822574E-5</v>
          </cell>
          <cell r="CJ27">
            <v>4.2701998149794876E-5</v>
          </cell>
          <cell r="CK27">
            <v>4.5585261783343441E-5</v>
          </cell>
          <cell r="CL27">
            <v>4.9634480992607912E-5</v>
          </cell>
          <cell r="CM27">
            <v>3.6485407198421277E-5</v>
          </cell>
          <cell r="CN27">
            <v>3.7104502537943566E-5</v>
          </cell>
          <cell r="CO27">
            <v>1.7218752830219791E-5</v>
          </cell>
          <cell r="CP27">
            <v>2.1673738936042093E-5</v>
          </cell>
          <cell r="CQ27">
            <v>2.6596212224218092E-5</v>
          </cell>
          <cell r="CR27">
            <v>3.6978997837662985E-5</v>
          </cell>
          <cell r="CS27">
            <v>2.2144463316807212E-5</v>
          </cell>
          <cell r="CT27">
            <v>1.7626991083687927E-5</v>
          </cell>
          <cell r="CU27">
            <v>3.3436854575202882E-5</v>
          </cell>
          <cell r="CV27">
            <v>1.6392156193310244E-5</v>
          </cell>
          <cell r="CW27">
            <v>3.3093619361709546E-5</v>
          </cell>
          <cell r="CX27">
            <v>3.4897450050159677E-5</v>
          </cell>
          <cell r="CY27">
            <v>3.7095034148230281E-5</v>
          </cell>
          <cell r="CZ27">
            <v>3.4625415018733634E-5</v>
          </cell>
          <cell r="DA27">
            <v>3.6093268217173692E-5</v>
          </cell>
          <cell r="DB27">
            <v>3.1564086205640741E-5</v>
          </cell>
          <cell r="DC27">
            <v>3.1803356915476171E-5</v>
          </cell>
          <cell r="DD27">
            <v>3.6543140511776963E-5</v>
          </cell>
          <cell r="DE27">
            <v>3.3308526468690529E-5</v>
          </cell>
          <cell r="DF27">
            <v>6.094536660982194</v>
          </cell>
        </row>
        <row r="28">
          <cell r="A28" t="str">
            <v>Isoliquiritigenin</v>
          </cell>
          <cell r="B28">
            <v>4.0771088628155189E-5</v>
          </cell>
          <cell r="C28">
            <v>2.8791898694443959E-5</v>
          </cell>
          <cell r="D28">
            <v>0</v>
          </cell>
          <cell r="E28">
            <v>1.8547098692070304E-5</v>
          </cell>
          <cell r="F28">
            <v>4.8738406931223683E-5</v>
          </cell>
          <cell r="G28">
            <v>0</v>
          </cell>
          <cell r="H28">
            <v>3.5661043839717422E-5</v>
          </cell>
          <cell r="I28">
            <v>6.4155065500888037E-5</v>
          </cell>
          <cell r="J28">
            <v>0</v>
          </cell>
          <cell r="K28">
            <v>4.7368347977060169E-5</v>
          </cell>
          <cell r="L28">
            <v>1.6371815273356202E-4</v>
          </cell>
          <cell r="M28">
            <v>3.0474081044212895E-4</v>
          </cell>
          <cell r="N28">
            <v>2.335130750914779E-4</v>
          </cell>
          <cell r="O28">
            <v>1.8508563861028548E-4</v>
          </cell>
          <cell r="P28">
            <v>1.5094151791255676E-4</v>
          </cell>
          <cell r="Q28">
            <v>2.3001530574064625E-5</v>
          </cell>
          <cell r="R28">
            <v>2.4597364583107914E-5</v>
          </cell>
          <cell r="S28">
            <v>0</v>
          </cell>
          <cell r="T28">
            <v>0</v>
          </cell>
          <cell r="U28">
            <v>4.6385243995410367E-5</v>
          </cell>
          <cell r="V28">
            <v>0</v>
          </cell>
          <cell r="W28">
            <v>5.1085632448005197E-5</v>
          </cell>
          <cell r="X28">
            <v>6.9413766650289958E-5</v>
          </cell>
          <cell r="Y28">
            <v>5.8576900178070271E-5</v>
          </cell>
          <cell r="Z28">
            <v>8.8895843619305728E-5</v>
          </cell>
          <cell r="AA28">
            <v>4.8686656852232017E-5</v>
          </cell>
          <cell r="AB28">
            <v>3.452159840938528E-5</v>
          </cell>
          <cell r="AC28">
            <v>0</v>
          </cell>
          <cell r="AD28">
            <v>3.4241019374447433E-5</v>
          </cell>
          <cell r="AE28">
            <v>5.3257243010617036E-5</v>
          </cell>
          <cell r="AF28">
            <v>2.7913413192485064E-5</v>
          </cell>
          <cell r="AG28">
            <v>5.0364254503173623E-5</v>
          </cell>
          <cell r="AH28">
            <v>4.1208650192925544E-5</v>
          </cell>
          <cell r="AI28">
            <v>5.2308370921293884E-5</v>
          </cell>
          <cell r="AJ28">
            <v>4.6815065505582822E-5</v>
          </cell>
          <cell r="AK28">
            <v>7.5025257198079777E-5</v>
          </cell>
          <cell r="AL28">
            <v>9.3612595080829378E-5</v>
          </cell>
          <cell r="AM28">
            <v>8.2845570217218628E-5</v>
          </cell>
          <cell r="AN28">
            <v>5.9003644217826387E-5</v>
          </cell>
          <cell r="AO28">
            <v>4.6496933442432253E-5</v>
          </cell>
          <cell r="AP28">
            <v>7.5958341533925958E-5</v>
          </cell>
          <cell r="AQ28">
            <v>5.3890927463400995E-5</v>
          </cell>
          <cell r="AR28">
            <v>4.6068308859700287E-5</v>
          </cell>
          <cell r="AS28">
            <v>6.198963729161002E-5</v>
          </cell>
          <cell r="AT28">
            <v>4.9708180973897935E-5</v>
          </cell>
          <cell r="AU28">
            <v>5.5644223138019758E-5</v>
          </cell>
          <cell r="AV28">
            <v>7.0169256483755064E-5</v>
          </cell>
          <cell r="AW28">
            <v>6.7361446276623194E-5</v>
          </cell>
          <cell r="AX28">
            <v>5.7788681434610341E-5</v>
          </cell>
          <cell r="AY28">
            <v>5.2104994967240834E-5</v>
          </cell>
          <cell r="AZ28">
            <v>2.3529308800497686E-5</v>
          </cell>
          <cell r="BA28">
            <v>2.3868914256878086E-5</v>
          </cell>
          <cell r="BB28">
            <v>4.1052788461677871E-5</v>
          </cell>
          <cell r="BC28">
            <v>1.9966049612558949E-5</v>
          </cell>
          <cell r="BD28">
            <v>2.4985900562043248E-5</v>
          </cell>
          <cell r="BE28">
            <v>4.2582979230448871E-5</v>
          </cell>
          <cell r="BF28">
            <v>4.6046747560328967E-5</v>
          </cell>
          <cell r="BG28">
            <v>1.9875746027424185E-5</v>
          </cell>
          <cell r="BH28">
            <v>5.6391870723542377E-5</v>
          </cell>
          <cell r="BI28">
            <v>4.3992792483715791E-5</v>
          </cell>
          <cell r="BJ28">
            <v>0</v>
          </cell>
          <cell r="BK28">
            <v>1.2513515188604989E-4</v>
          </cell>
          <cell r="BL28">
            <v>9.8472446792020782E-5</v>
          </cell>
          <cell r="BM28">
            <v>7.1473160038100974E-5</v>
          </cell>
          <cell r="BN28">
            <v>8.5664086503503496E-5</v>
          </cell>
          <cell r="BO28">
            <v>5.2055813498386217E-5</v>
          </cell>
          <cell r="BP28">
            <v>3.1291028303276561E-5</v>
          </cell>
          <cell r="BQ28">
            <v>3.2036186254412145E-5</v>
          </cell>
          <cell r="BR28">
            <v>5.5689158981943119E-6</v>
          </cell>
          <cell r="BS28">
            <v>1.7142291722090863E-5</v>
          </cell>
          <cell r="BT28">
            <v>6.2442533910972897E-5</v>
          </cell>
          <cell r="BU28">
            <v>5.3384839384756399E-5</v>
          </cell>
          <cell r="BV28">
            <v>2.4479377660500804E-5</v>
          </cell>
          <cell r="BW28">
            <v>1.7576128773095813E-5</v>
          </cell>
          <cell r="BX28">
            <v>0</v>
          </cell>
          <cell r="BY28">
            <v>4.4618207016751606E-5</v>
          </cell>
          <cell r="BZ28">
            <v>3.717609590238711E-5</v>
          </cell>
          <cell r="CA28">
            <v>3.2649353687391547E-5</v>
          </cell>
          <cell r="CB28">
            <v>5.3670301553422254E-5</v>
          </cell>
          <cell r="CC28">
            <v>2.7288725664544568E-5</v>
          </cell>
          <cell r="CD28">
            <v>4.6497131997068067E-5</v>
          </cell>
          <cell r="CE28">
            <v>5.0968880008868223E-5</v>
          </cell>
          <cell r="CF28">
            <v>4.5440322123353292E-5</v>
          </cell>
          <cell r="CG28">
            <v>5.8976523568136456E-5</v>
          </cell>
          <cell r="CH28">
            <v>3.9919276097396731E-5</v>
          </cell>
          <cell r="CI28">
            <v>7.1165518291922157E-5</v>
          </cell>
          <cell r="CJ28">
            <v>6.0355734554400481E-5</v>
          </cell>
          <cell r="CK28">
            <v>5.8540526204260102E-5</v>
          </cell>
          <cell r="CL28">
            <v>3.9138512130605648E-5</v>
          </cell>
          <cell r="CM28">
            <v>4.469139485121805E-5</v>
          </cell>
          <cell r="CN28">
            <v>6.8130507438933605E-5</v>
          </cell>
          <cell r="CO28">
            <v>6.559554919302035E-5</v>
          </cell>
          <cell r="CP28">
            <v>6.4624495841416804E-5</v>
          </cell>
          <cell r="CQ28">
            <v>5.5941083155866902E-5</v>
          </cell>
          <cell r="CR28">
            <v>5.6645352997331083E-5</v>
          </cell>
          <cell r="CS28">
            <v>7.8370615983851447E-5</v>
          </cell>
          <cell r="CT28">
            <v>7.6601839633616304E-5</v>
          </cell>
          <cell r="CU28">
            <v>7.632233912974274E-5</v>
          </cell>
          <cell r="CV28">
            <v>8.1971783466075902E-5</v>
          </cell>
          <cell r="CW28">
            <v>6.0448288749669297E-5</v>
          </cell>
          <cell r="CX28">
            <v>6.1425008179993442E-5</v>
          </cell>
          <cell r="CY28">
            <v>5.9991670421175608E-5</v>
          </cell>
          <cell r="CZ28">
            <v>5.558603198628672E-5</v>
          </cell>
          <cell r="DA28">
            <v>5.8732777174483812E-5</v>
          </cell>
          <cell r="DB28">
            <v>5.0087435290583699E-5</v>
          </cell>
          <cell r="DC28">
            <v>5.483085116899528E-5</v>
          </cell>
          <cell r="DD28">
            <v>5.7506906179837658E-5</v>
          </cell>
          <cell r="DE28">
            <v>5.564236998374522E-5</v>
          </cell>
          <cell r="DF28">
            <v>6.2333662088103763</v>
          </cell>
        </row>
        <row r="29">
          <cell r="A29" t="str">
            <v>2;3-Dihydroxybenzoic acid</v>
          </cell>
          <cell r="B29">
            <v>8.3511405505870247E-4</v>
          </cell>
          <cell r="C29">
            <v>7.8199682210389589E-4</v>
          </cell>
          <cell r="D29">
            <v>8.0041095366380579E-4</v>
          </cell>
          <cell r="E29">
            <v>7.1977699323145508E-4</v>
          </cell>
          <cell r="F29">
            <v>1.2311283465519468E-3</v>
          </cell>
          <cell r="G29">
            <v>0</v>
          </cell>
          <cell r="H29">
            <v>2.8932254057514027E-3</v>
          </cell>
          <cell r="I29">
            <v>2.0517895139204449E-3</v>
          </cell>
          <cell r="J29">
            <v>0</v>
          </cell>
          <cell r="K29">
            <v>9.1565554933962861E-4</v>
          </cell>
          <cell r="L29">
            <v>0</v>
          </cell>
          <cell r="M29">
            <v>0</v>
          </cell>
          <cell r="N29">
            <v>2.5121438283121017E-3</v>
          </cell>
          <cell r="O29">
            <v>1.8012588084125006E-3</v>
          </cell>
          <cell r="P29">
            <v>1.3405876867625718E-3</v>
          </cell>
          <cell r="Q29">
            <v>2.5518541810313779E-3</v>
          </cell>
          <cell r="R29">
            <v>5.7443050186305026E-4</v>
          </cell>
          <cell r="S29">
            <v>2.7530438460555396E-3</v>
          </cell>
          <cell r="T29">
            <v>3.1136374218550178E-3</v>
          </cell>
          <cell r="U29">
            <v>5.1363269715716982E-3</v>
          </cell>
          <cell r="V29">
            <v>1.9627405089347226E-3</v>
          </cell>
          <cell r="W29">
            <v>2.7677874414047117E-3</v>
          </cell>
          <cell r="X29">
            <v>3.518822833617756E-3</v>
          </cell>
          <cell r="Y29">
            <v>0</v>
          </cell>
          <cell r="Z29">
            <v>3.1748115564182449E-3</v>
          </cell>
          <cell r="AA29">
            <v>4.3664630029952604E-3</v>
          </cell>
          <cell r="AB29">
            <v>0</v>
          </cell>
          <cell r="AC29">
            <v>1.4630876088345332E-3</v>
          </cell>
          <cell r="AD29">
            <v>6.0502691544863003E-4</v>
          </cell>
          <cell r="AE29">
            <v>0</v>
          </cell>
          <cell r="AF29">
            <v>2.1905539327629116E-3</v>
          </cell>
          <cell r="AG29">
            <v>1.0140477181248312E-3</v>
          </cell>
          <cell r="AH29">
            <v>3.04398959393181E-4</v>
          </cell>
          <cell r="AI29">
            <v>1.6576016221966472E-3</v>
          </cell>
          <cell r="AJ29">
            <v>5.295928980172251E-4</v>
          </cell>
          <cell r="AK29">
            <v>4.5049481980401753E-3</v>
          </cell>
          <cell r="AL29">
            <v>1.0644600936796927E-2</v>
          </cell>
          <cell r="AM29">
            <v>2.1004456399375524E-3</v>
          </cell>
          <cell r="AN29">
            <v>1.6656701983570627E-3</v>
          </cell>
          <cell r="AO29">
            <v>1.9015722901640818E-3</v>
          </cell>
          <cell r="AP29">
            <v>4.285885285013683E-4</v>
          </cell>
          <cell r="AQ29">
            <v>5.9144976400567022E-4</v>
          </cell>
          <cell r="AR29">
            <v>3.1774269473631674E-4</v>
          </cell>
          <cell r="AS29">
            <v>2.7290027158244389E-4</v>
          </cell>
          <cell r="AT29">
            <v>7.5105538736494756E-4</v>
          </cell>
          <cell r="AU29">
            <v>5.4796993854211017E-4</v>
          </cell>
          <cell r="AV29">
            <v>5.9049862625602031E-4</v>
          </cell>
          <cell r="AW29">
            <v>5.5188999763941949E-4</v>
          </cell>
          <cell r="AX29">
            <v>3.8448309454106164E-4</v>
          </cell>
          <cell r="AY29">
            <v>3.3180321513095069E-4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1.0414642825626156E-3</v>
          </cell>
          <cell r="BF29">
            <v>5.429102147065921E-4</v>
          </cell>
          <cell r="BG29">
            <v>0</v>
          </cell>
          <cell r="BH29">
            <v>1.6562343340593443E-4</v>
          </cell>
          <cell r="BI29">
            <v>1.4820222730683626E-3</v>
          </cell>
          <cell r="BJ29">
            <v>0</v>
          </cell>
          <cell r="BK29">
            <v>0</v>
          </cell>
          <cell r="BL29">
            <v>0</v>
          </cell>
          <cell r="BM29">
            <v>2.1027316322531887E-3</v>
          </cell>
          <cell r="BN29">
            <v>5.9701325632372047E-4</v>
          </cell>
          <cell r="BO29">
            <v>5.3032605033606324E-4</v>
          </cell>
          <cell r="BP29">
            <v>1.0336834642354588E-3</v>
          </cell>
          <cell r="BQ29">
            <v>2.9613322021696965E-3</v>
          </cell>
          <cell r="BR29">
            <v>5.180061971072756E-4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1.0745289453753385E-2</v>
          </cell>
          <cell r="BZ29">
            <v>0</v>
          </cell>
          <cell r="CA29">
            <v>0</v>
          </cell>
          <cell r="CB29">
            <v>9.0758456188702954E-4</v>
          </cell>
          <cell r="CC29">
            <v>5.8396477230164957E-4</v>
          </cell>
          <cell r="CD29">
            <v>9.1764046681144784E-4</v>
          </cell>
          <cell r="CE29">
            <v>5.9521828947861632E-4</v>
          </cell>
          <cell r="CF29">
            <v>0</v>
          </cell>
          <cell r="CG29">
            <v>1.3746336219677821E-3</v>
          </cell>
          <cell r="CH29">
            <v>9.5448449330786246E-4</v>
          </cell>
          <cell r="CI29">
            <v>1.1660770947882234E-3</v>
          </cell>
          <cell r="CJ29">
            <v>1.1363544157918576E-3</v>
          </cell>
          <cell r="CK29">
            <v>1.6233125023351648E-3</v>
          </cell>
          <cell r="CL29">
            <v>0</v>
          </cell>
          <cell r="CM29">
            <v>8.4242711145642729E-4</v>
          </cell>
          <cell r="CN29">
            <v>0</v>
          </cell>
          <cell r="CO29">
            <v>2.4408112300145688E-3</v>
          </cell>
          <cell r="CP29">
            <v>5.7422088180817462E-4</v>
          </cell>
          <cell r="CQ29">
            <v>1.3624784238126602E-3</v>
          </cell>
          <cell r="CR29">
            <v>1.3323869111643615E-4</v>
          </cell>
          <cell r="CS29">
            <v>7.6701551826351794E-4</v>
          </cell>
          <cell r="CT29">
            <v>8.3688203124689488E-4</v>
          </cell>
          <cell r="CU29">
            <v>5.4210237016511095E-4</v>
          </cell>
          <cell r="CV29">
            <v>1.1696594441844418E-3</v>
          </cell>
          <cell r="CW29">
            <v>4.6535778976114684E-4</v>
          </cell>
          <cell r="CX29">
            <v>7.1687997458670042E-4</v>
          </cell>
          <cell r="CY29">
            <v>6.3971834313130446E-4</v>
          </cell>
          <cell r="CZ29">
            <v>7.1408644262354671E-4</v>
          </cell>
          <cell r="DA29">
            <v>6.8665346177350839E-4</v>
          </cell>
          <cell r="DB29">
            <v>6.1164931991178871E-4</v>
          </cell>
          <cell r="DC29">
            <v>6.4181751631961156E-4</v>
          </cell>
          <cell r="DD29">
            <v>7.078346008639703E-4</v>
          </cell>
          <cell r="DE29">
            <v>6.3103655492487761E-4</v>
          </cell>
          <cell r="DF29">
            <v>6.3119585657030965</v>
          </cell>
        </row>
        <row r="30">
          <cell r="A30" t="str">
            <v>Diosmetin</v>
          </cell>
          <cell r="B30">
            <v>1.0930636843566056E-4</v>
          </cell>
          <cell r="C30">
            <v>1.2264405806023028E-4</v>
          </cell>
          <cell r="D30">
            <v>0</v>
          </cell>
          <cell r="E30">
            <v>0</v>
          </cell>
          <cell r="F30">
            <v>0</v>
          </cell>
          <cell r="G30">
            <v>3.3152455204360151E-4</v>
          </cell>
          <cell r="H30">
            <v>6.1455148395792142E-5</v>
          </cell>
          <cell r="I30">
            <v>0</v>
          </cell>
          <cell r="J30">
            <v>0</v>
          </cell>
          <cell r="K30">
            <v>1.0358217567481446E-4</v>
          </cell>
          <cell r="L30">
            <v>1.8357561068933133E-4</v>
          </cell>
          <cell r="M30">
            <v>0</v>
          </cell>
          <cell r="N30">
            <v>1.4828997170870085E-4</v>
          </cell>
          <cell r="O30">
            <v>0</v>
          </cell>
          <cell r="P30">
            <v>0</v>
          </cell>
          <cell r="Q30">
            <v>7.5529285551726496E-4</v>
          </cell>
          <cell r="R30">
            <v>4.6299895062131029E-4</v>
          </cell>
          <cell r="S30">
            <v>5.474465485009886E-4</v>
          </cell>
          <cell r="T30">
            <v>6.6238909613816686E-4</v>
          </cell>
          <cell r="U30">
            <v>9.0884149671292109E-4</v>
          </cell>
          <cell r="V30">
            <v>3.2952655897380519E-4</v>
          </cell>
          <cell r="W30">
            <v>3.4980475226978911E-4</v>
          </cell>
          <cell r="X30">
            <v>1.2084520317859094E-4</v>
          </cell>
          <cell r="Y30">
            <v>1.332223558896162E-4</v>
          </cell>
          <cell r="Z30">
            <v>1.6342922997318211E-4</v>
          </cell>
          <cell r="AA30">
            <v>0</v>
          </cell>
          <cell r="AB30">
            <v>0</v>
          </cell>
          <cell r="AC30">
            <v>0</v>
          </cell>
          <cell r="AD30">
            <v>3.7330541391776106E-6</v>
          </cell>
          <cell r="AE30">
            <v>0</v>
          </cell>
          <cell r="AF30">
            <v>4.498831535838294E-4</v>
          </cell>
          <cell r="AG30">
            <v>1.4824208285867222E-4</v>
          </cell>
          <cell r="AH30">
            <v>1.2680078073061657E-4</v>
          </cell>
          <cell r="AI30">
            <v>1.1078280211306005E-4</v>
          </cell>
          <cell r="AJ30">
            <v>1.022288702401206E-4</v>
          </cell>
          <cell r="AK30">
            <v>2.6932295254278402E-4</v>
          </cell>
          <cell r="AL30">
            <v>4.9070998463698E-4</v>
          </cell>
          <cell r="AM30">
            <v>3.2460735429815714E-4</v>
          </cell>
          <cell r="AN30">
            <v>2.8137131538763022E-4</v>
          </cell>
          <cell r="AO30">
            <v>2.2075367151965238E-4</v>
          </cell>
          <cell r="AP30">
            <v>1.4709847841918209E-4</v>
          </cell>
          <cell r="AQ30">
            <v>2.2597247789084729E-4</v>
          </cell>
          <cell r="AR30">
            <v>1.5979793493210576E-4</v>
          </cell>
          <cell r="AS30">
            <v>1.8120705361494561E-4</v>
          </cell>
          <cell r="AT30">
            <v>1.0684975831170684E-4</v>
          </cell>
          <cell r="AU30">
            <v>1.6344603174372194E-4</v>
          </cell>
          <cell r="AV30">
            <v>1.788038264583638E-4</v>
          </cell>
          <cell r="AW30">
            <v>2.3709921569078484E-4</v>
          </cell>
          <cell r="AX30">
            <v>1.3378136171949696E-4</v>
          </cell>
          <cell r="AY30">
            <v>1.1210256929251445E-4</v>
          </cell>
          <cell r="AZ30">
            <v>0</v>
          </cell>
          <cell r="BA30">
            <v>0</v>
          </cell>
          <cell r="BB30">
            <v>4.8580439314908954E-5</v>
          </cell>
          <cell r="BC30">
            <v>2.6689060343001637E-5</v>
          </cell>
          <cell r="BD30">
            <v>0</v>
          </cell>
          <cell r="BE30">
            <v>8.8908346414918061E-4</v>
          </cell>
          <cell r="BF30">
            <v>1.0380311791468421E-4</v>
          </cell>
          <cell r="BG30">
            <v>9.2687996696358275E-5</v>
          </cell>
          <cell r="BH30">
            <v>0</v>
          </cell>
          <cell r="BI30">
            <v>5.7273810888498484E-4</v>
          </cell>
          <cell r="BJ30">
            <v>1.4820502023898718E-4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5.0167426332564896E-4</v>
          </cell>
          <cell r="BQ30">
            <v>4.222749442138629E-4</v>
          </cell>
          <cell r="BR30">
            <v>3.384845741864742E-4</v>
          </cell>
          <cell r="BS30">
            <v>4.7409212671969199E-4</v>
          </cell>
          <cell r="BT30">
            <v>1.2168496323473568E-4</v>
          </cell>
          <cell r="BU30">
            <v>1.4697231632177212E-4</v>
          </cell>
          <cell r="BV30">
            <v>0</v>
          </cell>
          <cell r="BW30">
            <v>8.2958378018171549E-5</v>
          </cell>
          <cell r="BX30">
            <v>5.1170536964149407E-5</v>
          </cell>
          <cell r="BY30">
            <v>0</v>
          </cell>
          <cell r="BZ30">
            <v>2.0788351428684274E-6</v>
          </cell>
          <cell r="CA30">
            <v>0</v>
          </cell>
          <cell r="CB30">
            <v>1.8974440673946862E-4</v>
          </cell>
          <cell r="CC30">
            <v>0</v>
          </cell>
          <cell r="CD30">
            <v>1.7734002389427467E-4</v>
          </cell>
          <cell r="CE30">
            <v>1.8685956677048517E-4</v>
          </cell>
          <cell r="CF30">
            <v>1.9318196370781402E-4</v>
          </cell>
          <cell r="CG30">
            <v>2.8830735940968508E-4</v>
          </cell>
          <cell r="CH30">
            <v>1.5477891440650565E-4</v>
          </cell>
          <cell r="CI30">
            <v>1.4871091985420835E-4</v>
          </cell>
          <cell r="CJ30">
            <v>2.343326131208036E-4</v>
          </cell>
          <cell r="CK30">
            <v>1.9597875066232012E-4</v>
          </cell>
          <cell r="CL30">
            <v>1.3620769449240904E-4</v>
          </cell>
          <cell r="CM30">
            <v>1.9354199932617385E-4</v>
          </cell>
          <cell r="CN30">
            <v>1.6750374242313349E-4</v>
          </cell>
          <cell r="CO30">
            <v>1.9963927848750881E-4</v>
          </cell>
          <cell r="CP30">
            <v>1.4897789067456761E-4</v>
          </cell>
          <cell r="CQ30">
            <v>1.3526288998564313E-4</v>
          </cell>
          <cell r="CR30">
            <v>1.4534325535398406E-4</v>
          </cell>
          <cell r="CS30">
            <v>1.8734350674884414E-4</v>
          </cell>
          <cell r="CT30">
            <v>1.9071855520440623E-4</v>
          </cell>
          <cell r="CU30">
            <v>1.8781340528646316E-4</v>
          </cell>
          <cell r="CV30">
            <v>1.483312123836503E-4</v>
          </cell>
          <cell r="CW30">
            <v>1.4795636238040398E-4</v>
          </cell>
          <cell r="CX30">
            <v>1.859656245909363E-4</v>
          </cell>
          <cell r="CY30">
            <v>1.7279451769878059E-4</v>
          </cell>
          <cell r="CZ30">
            <v>1.7126999448596991E-4</v>
          </cell>
          <cell r="DA30">
            <v>2.0083595709125993E-4</v>
          </cell>
          <cell r="DB30">
            <v>1.8097643858253524E-4</v>
          </cell>
          <cell r="DC30">
            <v>1.6374827831447153E-4</v>
          </cell>
          <cell r="DD30">
            <v>1.6750884521902234E-4</v>
          </cell>
          <cell r="DE30">
            <v>1.6848585486960735E-4</v>
          </cell>
          <cell r="DF30">
            <v>6.9431219764875527</v>
          </cell>
        </row>
        <row r="31">
          <cell r="A31" t="str">
            <v>2;6-Dihydroxybenzoic acid</v>
          </cell>
          <cell r="B31">
            <v>0</v>
          </cell>
          <cell r="C31">
            <v>0</v>
          </cell>
          <cell r="D31">
            <v>7.5011434081536971E-4</v>
          </cell>
          <cell r="E31">
            <v>1.4128645676904929E-3</v>
          </cell>
          <cell r="F31">
            <v>4.9478473791406943E-4</v>
          </cell>
          <cell r="G31">
            <v>0</v>
          </cell>
          <cell r="H31">
            <v>0</v>
          </cell>
          <cell r="I31">
            <v>1.7962105733209102E-3</v>
          </cell>
          <cell r="J31">
            <v>1.2184842024525451E-3</v>
          </cell>
          <cell r="K31">
            <v>1.1540460063484484E-3</v>
          </cell>
          <cell r="L31">
            <v>0</v>
          </cell>
          <cell r="M31">
            <v>0</v>
          </cell>
          <cell r="N31">
            <v>3.1225093072456919E-3</v>
          </cell>
          <cell r="O31">
            <v>1.1685264279387873E-3</v>
          </cell>
          <cell r="P31">
            <v>1.0767930429445023E-3</v>
          </cell>
          <cell r="Q31">
            <v>3.2608835651141968E-3</v>
          </cell>
          <cell r="R31">
            <v>0</v>
          </cell>
          <cell r="S31">
            <v>1.4966032272195513E-3</v>
          </cell>
          <cell r="T31">
            <v>2.7482618310776994E-3</v>
          </cell>
          <cell r="U31">
            <v>5.6870021345769746E-3</v>
          </cell>
          <cell r="V31">
            <v>1.9515726920493603E-3</v>
          </cell>
          <cell r="W31">
            <v>8.7331721458848584E-4</v>
          </cell>
          <cell r="X31">
            <v>3.6176972964188114E-3</v>
          </cell>
          <cell r="Y31">
            <v>0</v>
          </cell>
          <cell r="Z31">
            <v>3.6577886079936146E-3</v>
          </cell>
          <cell r="AA31">
            <v>4.469185312476507E-3</v>
          </cell>
          <cell r="AB31">
            <v>1.5397981705028309E-4</v>
          </cell>
          <cell r="AC31">
            <v>1.4782402369016873E-3</v>
          </cell>
          <cell r="AD31">
            <v>0</v>
          </cell>
          <cell r="AE31">
            <v>0</v>
          </cell>
          <cell r="AF31">
            <v>2.1773592181077578E-3</v>
          </cell>
          <cell r="AG31">
            <v>6.5168887114054185E-4</v>
          </cell>
          <cell r="AH31">
            <v>0</v>
          </cell>
          <cell r="AI31">
            <v>1.6803608335886316E-3</v>
          </cell>
          <cell r="AJ31">
            <v>0</v>
          </cell>
          <cell r="AK31">
            <v>4.565683438366698E-3</v>
          </cell>
          <cell r="AL31">
            <v>1.1072014473930348E-2</v>
          </cell>
          <cell r="AM31">
            <v>2.4028338734936303E-3</v>
          </cell>
          <cell r="AN31">
            <v>1.5061619347996893E-3</v>
          </cell>
          <cell r="AO31">
            <v>2.3173966319964593E-3</v>
          </cell>
          <cell r="AP31">
            <v>6.4357810212885389E-4</v>
          </cell>
          <cell r="AQ31">
            <v>4.6426902412521979E-4</v>
          </cell>
          <cell r="AR31">
            <v>3.3462392312690102E-4</v>
          </cell>
          <cell r="AS31">
            <v>3.3324442053817282E-4</v>
          </cell>
          <cell r="AT31">
            <v>5.2113398520516388E-4</v>
          </cell>
          <cell r="AU31">
            <v>5.0830290003082274E-4</v>
          </cell>
          <cell r="AV31">
            <v>5.5522190530190598E-4</v>
          </cell>
          <cell r="AW31">
            <v>6.2268588032001707E-4</v>
          </cell>
          <cell r="AX31">
            <v>2.9181285378924613E-4</v>
          </cell>
          <cell r="AY31">
            <v>3.4740899421750027E-4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6.8885388926790065E-4</v>
          </cell>
          <cell r="BH31">
            <v>4.67027214983647E-4</v>
          </cell>
          <cell r="BI31">
            <v>1.6746094552563364E-3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9.0915212717623188E-4</v>
          </cell>
          <cell r="BO31">
            <v>1.1110706164819467E-3</v>
          </cell>
          <cell r="BP31">
            <v>0</v>
          </cell>
          <cell r="BQ31">
            <v>2.6566084392885413E-3</v>
          </cell>
          <cell r="BR31">
            <v>8.5631844549771186E-4</v>
          </cell>
          <cell r="BS31">
            <v>7.8774086235814029E-4</v>
          </cell>
          <cell r="BT31">
            <v>1.3843461398838008E-3</v>
          </cell>
          <cell r="BU31">
            <v>0</v>
          </cell>
          <cell r="BV31">
            <v>4.6255756685875389E-4</v>
          </cell>
          <cell r="BW31">
            <v>1.2593484993877915E-3</v>
          </cell>
          <cell r="BX31">
            <v>0</v>
          </cell>
          <cell r="BY31">
            <v>1.1178285363097985E-2</v>
          </cell>
          <cell r="BZ31">
            <v>0</v>
          </cell>
          <cell r="CA31">
            <v>0</v>
          </cell>
          <cell r="CB31">
            <v>2.8007745550856353E-4</v>
          </cell>
          <cell r="CC31">
            <v>1.0039201233500925E-3</v>
          </cell>
          <cell r="CD31">
            <v>8.2446133188122462E-4</v>
          </cell>
          <cell r="CE31">
            <v>7.1075111388926014E-4</v>
          </cell>
          <cell r="CF31">
            <v>0</v>
          </cell>
          <cell r="CG31">
            <v>1.3403596299565136E-3</v>
          </cell>
          <cell r="CH31">
            <v>8.055027452176577E-4</v>
          </cell>
          <cell r="CI31">
            <v>1.0470703388906081E-3</v>
          </cell>
          <cell r="CJ31">
            <v>8.9638505074182814E-4</v>
          </cell>
          <cell r="CK31">
            <v>1.5175800546202392E-3</v>
          </cell>
          <cell r="CL31">
            <v>4.9750420716457961E-4</v>
          </cell>
          <cell r="CM31">
            <v>6.1529612502770627E-4</v>
          </cell>
          <cell r="CN31">
            <v>0</v>
          </cell>
          <cell r="CO31">
            <v>2.2673819949737637E-3</v>
          </cell>
          <cell r="CP31">
            <v>5.5266880880141677E-4</v>
          </cell>
          <cell r="CQ31">
            <v>1.2114254182349331E-3</v>
          </cell>
          <cell r="CR31">
            <v>2.8681714028102549E-4</v>
          </cell>
          <cell r="CS31">
            <v>7.2696660002007378E-4</v>
          </cell>
          <cell r="CT31">
            <v>8.1947145207073859E-4</v>
          </cell>
          <cell r="CU31">
            <v>0</v>
          </cell>
          <cell r="CV31">
            <v>1.0413814330799958E-3</v>
          </cell>
          <cell r="CW31">
            <v>5.0011677949851282E-4</v>
          </cell>
          <cell r="CX31">
            <v>6.2535298675545699E-4</v>
          </cell>
          <cell r="CY31">
            <v>4.9802146776772003E-4</v>
          </cell>
          <cell r="CZ31">
            <v>5.7652636309719646E-4</v>
          </cell>
          <cell r="DA31">
            <v>5.3963026373853203E-4</v>
          </cell>
          <cell r="DB31">
            <v>5.4260044226944455E-4</v>
          </cell>
          <cell r="DC31">
            <v>5.4699933593510401E-4</v>
          </cell>
          <cell r="DD31">
            <v>5.1817944573563028E-4</v>
          </cell>
          <cell r="DE31">
            <v>5.6417265892461826E-4</v>
          </cell>
          <cell r="DF31">
            <v>7.0072880552052599</v>
          </cell>
        </row>
        <row r="32">
          <cell r="A32" t="str">
            <v>Salicylic acid</v>
          </cell>
          <cell r="B32">
            <v>2.8551602013675227E-3</v>
          </cell>
          <cell r="C32">
            <v>3.9699400150181282E-3</v>
          </cell>
          <cell r="D32">
            <v>1.1119074578649568E-3</v>
          </cell>
          <cell r="E32">
            <v>8.9405725242448829E-4</v>
          </cell>
          <cell r="F32">
            <v>1.7843345654113768E-3</v>
          </cell>
          <cell r="G32">
            <v>1.9913998788091136E-3</v>
          </cell>
          <cell r="H32">
            <v>2.3816956361582963E-3</v>
          </cell>
          <cell r="I32">
            <v>8.9439181010442714E-4</v>
          </cell>
          <cell r="J32">
            <v>1.0394924409025681E-3</v>
          </cell>
          <cell r="K32">
            <v>8.3677652856826924E-4</v>
          </cell>
          <cell r="L32">
            <v>4.253021823332875E-3</v>
          </cell>
          <cell r="M32">
            <v>5.0597675558972386E-3</v>
          </cell>
          <cell r="N32">
            <v>4.2013555475697651E-3</v>
          </cell>
          <cell r="O32">
            <v>5.213884264516301E-4</v>
          </cell>
          <cell r="P32">
            <v>2.7187841892962867E-3</v>
          </cell>
          <cell r="Q32">
            <v>3.6078193648962109E-3</v>
          </cell>
          <cell r="R32">
            <v>1.932877218787466E-3</v>
          </cell>
          <cell r="S32">
            <v>2.1578620257890709E-3</v>
          </cell>
          <cell r="T32">
            <v>1.3533654487320036E-3</v>
          </cell>
          <cell r="U32">
            <v>3.4016783330684977E-3</v>
          </cell>
          <cell r="V32">
            <v>1.1102727086072599E-3</v>
          </cell>
          <cell r="W32">
            <v>6.5200920059211502E-4</v>
          </cell>
          <cell r="X32">
            <v>3.8163455969621315E-4</v>
          </cell>
          <cell r="Y32">
            <v>2.0510203921873414E-4</v>
          </cell>
          <cell r="Z32">
            <v>2.5825821838087798E-4</v>
          </cell>
          <cell r="AA32">
            <v>5.9988087508322497E-4</v>
          </cell>
          <cell r="AB32">
            <v>5.108567667075416E-4</v>
          </cell>
          <cell r="AC32">
            <v>4.0812925715611641E-4</v>
          </cell>
          <cell r="AD32">
            <v>1.1942495979445414E-3</v>
          </cell>
          <cell r="AE32">
            <v>2.9960384660348655E-4</v>
          </cell>
          <cell r="AF32">
            <v>1.3286113719761156E-3</v>
          </cell>
          <cell r="AG32">
            <v>6.3446878420103138E-4</v>
          </cell>
          <cell r="AH32">
            <v>3.6042312469014966E-4</v>
          </cell>
          <cell r="AI32">
            <v>1.1201219566176301E-3</v>
          </cell>
          <cell r="AJ32">
            <v>3.2608371090209784E-4</v>
          </cell>
          <cell r="AK32">
            <v>2.850334255769138E-3</v>
          </cell>
          <cell r="AL32">
            <v>4.6249665536306737E-3</v>
          </cell>
          <cell r="AM32">
            <v>9.5339991248784544E-4</v>
          </cell>
          <cell r="AN32">
            <v>5.3239474260119034E-4</v>
          </cell>
          <cell r="AO32">
            <v>3.513833475165832E-4</v>
          </cell>
          <cell r="AP32">
            <v>5.240101503081303E-4</v>
          </cell>
          <cell r="AQ32">
            <v>3.939125722918927E-4</v>
          </cell>
          <cell r="AR32">
            <v>2.2003425398454179E-4</v>
          </cell>
          <cell r="AS32">
            <v>3.0789015599243458E-4</v>
          </cell>
          <cell r="AT32">
            <v>1.677532470102244E-4</v>
          </cell>
          <cell r="AU32">
            <v>4.0152619577002614E-4</v>
          </cell>
          <cell r="AV32">
            <v>5.17153673589641E-4</v>
          </cell>
          <cell r="AW32">
            <v>6.3643446126170988E-4</v>
          </cell>
          <cell r="AX32">
            <v>1.2310072021532427E-4</v>
          </cell>
          <cell r="AY32">
            <v>1.2538901767881105E-4</v>
          </cell>
          <cell r="AZ32">
            <v>3.488640692883666E-4</v>
          </cell>
          <cell r="BA32">
            <v>3.3665345886528026E-4</v>
          </cell>
          <cell r="BB32">
            <v>2.8747893507858501E-4</v>
          </cell>
          <cell r="BC32">
            <v>7.3011097774574498E-5</v>
          </cell>
          <cell r="BD32">
            <v>8.2390145061783578E-5</v>
          </cell>
          <cell r="BE32">
            <v>6.8080967957391048E-4</v>
          </cell>
          <cell r="BF32">
            <v>1.1809671219737343E-3</v>
          </cell>
          <cell r="BG32">
            <v>2.5372438185232138E-3</v>
          </cell>
          <cell r="BH32">
            <v>2.038451749485822E-4</v>
          </cell>
          <cell r="BI32">
            <v>9.735135178693537E-4</v>
          </cell>
          <cell r="BJ32">
            <v>5.490308993570176E-3</v>
          </cell>
          <cell r="BK32">
            <v>1.9577095640570179E-3</v>
          </cell>
          <cell r="BL32">
            <v>8.0785262573621595E-4</v>
          </cell>
          <cell r="BM32">
            <v>3.3084296957224188E-3</v>
          </cell>
          <cell r="BN32">
            <v>8.0443170031901316E-4</v>
          </cell>
          <cell r="BO32">
            <v>3.9060782047183848E-4</v>
          </cell>
          <cell r="BP32">
            <v>7.6453181505231973E-4</v>
          </cell>
          <cell r="BQ32">
            <v>8.8475028171672938E-4</v>
          </cell>
          <cell r="BR32">
            <v>6.0822214945807889E-4</v>
          </cell>
          <cell r="BS32">
            <v>1.0070590636440126E-3</v>
          </cell>
          <cell r="BT32">
            <v>1.2702994226084792E-3</v>
          </cell>
          <cell r="BU32">
            <v>2.8054967300223342E-4</v>
          </cell>
          <cell r="BV32">
            <v>7.8790051932832743E-4</v>
          </cell>
          <cell r="BW32">
            <v>7.0407011467930327E-4</v>
          </cell>
          <cell r="BX32">
            <v>2.9717762109434049E-3</v>
          </cell>
          <cell r="BY32">
            <v>6.8982527618782188E-4</v>
          </cell>
          <cell r="BZ32">
            <v>4.2492646444918409E-4</v>
          </cell>
          <cell r="CA32">
            <v>3.3251607507237235E-4</v>
          </cell>
          <cell r="CB32">
            <v>5.235946697590264E-4</v>
          </cell>
          <cell r="CC32">
            <v>8.080988753837746E-5</v>
          </cell>
          <cell r="CD32">
            <v>2.8999158053271594E-4</v>
          </cell>
          <cell r="CE32">
            <v>2.3265989202413912E-4</v>
          </cell>
          <cell r="CF32">
            <v>1.5205947536217835E-4</v>
          </cell>
          <cell r="CG32">
            <v>3.289856046688417E-4</v>
          </cell>
          <cell r="CH32">
            <v>4.5646851270434276E-4</v>
          </cell>
          <cell r="CI32">
            <v>8.3349999315175725E-4</v>
          </cell>
          <cell r="CJ32">
            <v>1.7029451913027092E-4</v>
          </cell>
          <cell r="CK32">
            <v>1.0888386991122523E-4</v>
          </cell>
          <cell r="CL32">
            <v>1.5292761567882652E-4</v>
          </cell>
          <cell r="CM32">
            <v>1.1075323980618638E-4</v>
          </cell>
          <cell r="CN32">
            <v>8.1189961446875196E-5</v>
          </cell>
          <cell r="CO32">
            <v>5.0897357265616632E-4</v>
          </cell>
          <cell r="CP32">
            <v>1.5060758527775603E-4</v>
          </cell>
          <cell r="CQ32">
            <v>2.4344096470799959E-4</v>
          </cell>
          <cell r="CR32">
            <v>6.6068620001623316E-5</v>
          </cell>
          <cell r="CS32">
            <v>4.5444647287367555E-4</v>
          </cell>
          <cell r="CT32">
            <v>2.6954184032213061E-4</v>
          </cell>
          <cell r="CU32">
            <v>1.2114971160900805E-4</v>
          </cell>
          <cell r="CV32">
            <v>3.4002873024850384E-4</v>
          </cell>
          <cell r="CW32">
            <v>1.0753957487706482E-4</v>
          </cell>
          <cell r="CX32">
            <v>2.3494894806832034E-4</v>
          </cell>
          <cell r="CY32">
            <v>2.0618085333775011E-4</v>
          </cell>
          <cell r="CZ32">
            <v>1.9385987330307507E-4</v>
          </cell>
          <cell r="DA32">
            <v>1.6206111817812144E-4</v>
          </cell>
          <cell r="DB32">
            <v>2.0038468500708885E-4</v>
          </cell>
          <cell r="DC32">
            <v>1.7493119043109827E-4</v>
          </cell>
          <cell r="DD32">
            <v>1.7225657226084759E-4</v>
          </cell>
          <cell r="DE32">
            <v>2.0099743944922233E-4</v>
          </cell>
          <cell r="DF32">
            <v>12.005983559610735</v>
          </cell>
        </row>
        <row r="33">
          <cell r="A33" t="str">
            <v>Myricetin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1.5164332623430468E-4</v>
          </cell>
          <cell r="I33">
            <v>1.8154046787992762E-4</v>
          </cell>
          <cell r="J33">
            <v>0</v>
          </cell>
          <cell r="K33">
            <v>0</v>
          </cell>
          <cell r="L33">
            <v>0</v>
          </cell>
          <cell r="M33">
            <v>7.919841065435691E-5</v>
          </cell>
          <cell r="N33">
            <v>0</v>
          </cell>
          <cell r="O33">
            <v>8.6645574056700025E-5</v>
          </cell>
          <cell r="P33">
            <v>0</v>
          </cell>
          <cell r="Q33">
            <v>0</v>
          </cell>
          <cell r="R33">
            <v>1.8918118441967402E-4</v>
          </cell>
          <cell r="S33">
            <v>0</v>
          </cell>
          <cell r="T33">
            <v>0</v>
          </cell>
          <cell r="U33">
            <v>0</v>
          </cell>
          <cell r="V33">
            <v>7.7524379845965186E-5</v>
          </cell>
          <cell r="W33">
            <v>0</v>
          </cell>
          <cell r="X33">
            <v>1.9658974438247555E-4</v>
          </cell>
          <cell r="Y33">
            <v>7.3401037842361037E-5</v>
          </cell>
          <cell r="Z33">
            <v>0</v>
          </cell>
          <cell r="AA33">
            <v>0</v>
          </cell>
          <cell r="AB33">
            <v>0</v>
          </cell>
          <cell r="AC33">
            <v>9.8384211564690543E-5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4.965715088758899E-4</v>
          </cell>
          <cell r="AI33">
            <v>0</v>
          </cell>
          <cell r="AJ33">
            <v>0</v>
          </cell>
          <cell r="AK33">
            <v>0</v>
          </cell>
          <cell r="AL33">
            <v>1.840676471682412E-4</v>
          </cell>
          <cell r="AM33">
            <v>0</v>
          </cell>
          <cell r="AN33">
            <v>0</v>
          </cell>
          <cell r="AO33">
            <v>4.5163717058059822E-4</v>
          </cell>
          <cell r="AP33">
            <v>1.2703449153639277E-3</v>
          </cell>
          <cell r="AQ33">
            <v>1.0590531571873754E-3</v>
          </cell>
          <cell r="AR33">
            <v>1.1140317909475251E-3</v>
          </cell>
          <cell r="AS33">
            <v>9.3837835280842778E-4</v>
          </cell>
          <cell r="AT33">
            <v>4.1223785353241876E-4</v>
          </cell>
          <cell r="AU33">
            <v>1.0169697878352612E-3</v>
          </cell>
          <cell r="AV33">
            <v>1.0553647327064763E-3</v>
          </cell>
          <cell r="AW33">
            <v>1.1570624321281474E-4</v>
          </cell>
          <cell r="AX33">
            <v>0</v>
          </cell>
          <cell r="AY33">
            <v>7.477525718336236E-4</v>
          </cell>
          <cell r="AZ33">
            <v>2.7684869553242972E-4</v>
          </cell>
          <cell r="BA33">
            <v>0</v>
          </cell>
          <cell r="BB33">
            <v>0</v>
          </cell>
          <cell r="BC33">
            <v>0</v>
          </cell>
          <cell r="BD33">
            <v>1.2943808150761468E-4</v>
          </cell>
          <cell r="BE33">
            <v>0</v>
          </cell>
          <cell r="BF33">
            <v>0</v>
          </cell>
          <cell r="BG33">
            <v>0</v>
          </cell>
          <cell r="BH33">
            <v>3.7938390670651145E-5</v>
          </cell>
          <cell r="BI33">
            <v>6.3681650729243943E-5</v>
          </cell>
          <cell r="BJ33">
            <v>2.3044280838596242E-4</v>
          </cell>
          <cell r="BK33">
            <v>9.607002837739495E-5</v>
          </cell>
          <cell r="BL33">
            <v>0</v>
          </cell>
          <cell r="BM33">
            <v>0</v>
          </cell>
          <cell r="BN33">
            <v>5.1289398593760723E-5</v>
          </cell>
          <cell r="BO33">
            <v>0</v>
          </cell>
          <cell r="BP33">
            <v>0</v>
          </cell>
          <cell r="BQ33">
            <v>1.3884587927655401E-4</v>
          </cell>
          <cell r="BR33">
            <v>1.8806169787203992E-4</v>
          </cell>
          <cell r="BS33">
            <v>9.542792927963338E-5</v>
          </cell>
          <cell r="BT33">
            <v>0</v>
          </cell>
          <cell r="BU33">
            <v>0</v>
          </cell>
          <cell r="BV33">
            <v>0</v>
          </cell>
          <cell r="BW33">
            <v>9.1288661093970186E-5</v>
          </cell>
          <cell r="BX33">
            <v>1.3916594607982604E-4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1.0899960708207509E-4</v>
          </cell>
          <cell r="CD33">
            <v>5.1695907256692924E-4</v>
          </cell>
          <cell r="CE33">
            <v>5.1016381065208788E-4</v>
          </cell>
          <cell r="CF33">
            <v>7.4723436022827055E-4</v>
          </cell>
          <cell r="CG33">
            <v>2.7298639264770137E-4</v>
          </cell>
          <cell r="CH33">
            <v>5.5992244776103867E-4</v>
          </cell>
          <cell r="CI33">
            <v>6.0657101649675132E-4</v>
          </cell>
          <cell r="CJ33">
            <v>6.461214422195091E-4</v>
          </cell>
          <cell r="CK33">
            <v>4.5211299362619685E-4</v>
          </cell>
          <cell r="CL33">
            <v>2.5766548858973418E-4</v>
          </cell>
          <cell r="CM33">
            <v>3.0167073024573148E-4</v>
          </cell>
          <cell r="CN33">
            <v>7.3191564341586939E-4</v>
          </cell>
          <cell r="CO33">
            <v>3.9726643154011968E-4</v>
          </cell>
          <cell r="CP33">
            <v>5.0379373881271933E-4</v>
          </cell>
          <cell r="CQ33">
            <v>5.5101118549383233E-4</v>
          </cell>
          <cell r="CR33">
            <v>6.9334850695978003E-4</v>
          </cell>
          <cell r="CS33">
            <v>8.9400445865051405E-4</v>
          </cell>
          <cell r="CT33">
            <v>7.6901124436563298E-4</v>
          </cell>
          <cell r="CU33">
            <v>1.1937680739830055E-3</v>
          </cell>
          <cell r="CV33">
            <v>3.3406960476701499E-4</v>
          </cell>
          <cell r="CW33">
            <v>6.7520746453998183E-4</v>
          </cell>
          <cell r="CX33">
            <v>3.0038419330654666E-4</v>
          </cell>
          <cell r="CY33">
            <v>2.3069042008786182E-4</v>
          </cell>
          <cell r="CZ33">
            <v>1.9483184450515948E-4</v>
          </cell>
          <cell r="DA33">
            <v>2.7283212822412439E-4</v>
          </cell>
          <cell r="DB33">
            <v>2.701201600806647E-4</v>
          </cell>
          <cell r="DC33">
            <v>2.8830837275861681E-4</v>
          </cell>
          <cell r="DD33">
            <v>2.4701664611780707E-4</v>
          </cell>
          <cell r="DE33">
            <v>1.9428139521998134E-4</v>
          </cell>
          <cell r="DF33">
            <v>16.198336178692518</v>
          </cell>
        </row>
        <row r="34">
          <cell r="A34" t="str">
            <v>Rosmarinic acid</v>
          </cell>
          <cell r="B34">
            <v>0</v>
          </cell>
          <cell r="C34">
            <v>1.127024072750814E-5</v>
          </cell>
          <cell r="D34">
            <v>0</v>
          </cell>
          <cell r="E34">
            <v>1.9497640858732607E-5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2.827157230851256E-5</v>
          </cell>
          <cell r="U34">
            <v>0</v>
          </cell>
          <cell r="V34">
            <v>1.3282005160577251E-6</v>
          </cell>
          <cell r="W34">
            <v>4.0967172145812798E-5</v>
          </cell>
          <cell r="X34">
            <v>1.2196102660213917E-5</v>
          </cell>
          <cell r="Y34">
            <v>1.3493224905226975E-6</v>
          </cell>
          <cell r="Z34">
            <v>6.6328417893768968E-6</v>
          </cell>
          <cell r="AA34">
            <v>0</v>
          </cell>
          <cell r="AB34">
            <v>3.2371861944450305E-6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3.762414002158568E-5</v>
          </cell>
          <cell r="AI34">
            <v>4.863559942457646E-5</v>
          </cell>
          <cell r="AJ34">
            <v>1.2058385070404075E-4</v>
          </cell>
          <cell r="AK34">
            <v>1.9070896445604785E-5</v>
          </cell>
          <cell r="AL34">
            <v>0</v>
          </cell>
          <cell r="AM34">
            <v>0</v>
          </cell>
          <cell r="AN34">
            <v>1.2738642329377171E-5</v>
          </cell>
          <cell r="AO34">
            <v>1.2260522094072513E-5</v>
          </cell>
          <cell r="AP34">
            <v>0</v>
          </cell>
          <cell r="AQ34">
            <v>7.0720416855465741E-5</v>
          </cell>
          <cell r="AR34">
            <v>4.8210281378768912E-5</v>
          </cell>
          <cell r="AS34">
            <v>1.0548147694564283E-4</v>
          </cell>
          <cell r="AT34">
            <v>1.3509618125229873E-4</v>
          </cell>
          <cell r="AU34">
            <v>4.1617858819863239E-5</v>
          </cell>
          <cell r="AV34">
            <v>1.9865078132752564E-3</v>
          </cell>
          <cell r="AW34">
            <v>4.3394748525714093E-5</v>
          </cell>
          <cell r="AX34">
            <v>2.5578940051708095E-5</v>
          </cell>
          <cell r="AY34">
            <v>4.0492820348783225E-5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2.3873991576760293E-6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1.3504737209557841E-5</v>
          </cell>
          <cell r="BN34">
            <v>0</v>
          </cell>
          <cell r="BO34">
            <v>8.7435338085713551E-6</v>
          </cell>
          <cell r="BP34">
            <v>6.6885932794776413E-7</v>
          </cell>
          <cell r="BQ34">
            <v>0</v>
          </cell>
          <cell r="BR34">
            <v>3.9882082169577591E-6</v>
          </cell>
          <cell r="BS34">
            <v>6.6483506372978093E-6</v>
          </cell>
          <cell r="BT34">
            <v>0</v>
          </cell>
          <cell r="BU34">
            <v>7.4789092206428689E-6</v>
          </cell>
          <cell r="BV34">
            <v>0</v>
          </cell>
          <cell r="BW34">
            <v>0</v>
          </cell>
          <cell r="BX34">
            <v>4.5617536656424508E-6</v>
          </cell>
          <cell r="BY34">
            <v>0</v>
          </cell>
          <cell r="BZ34">
            <v>0</v>
          </cell>
          <cell r="CA34">
            <v>1.5220910501198539E-5</v>
          </cell>
          <cell r="CB34">
            <v>0</v>
          </cell>
          <cell r="CC34">
            <v>0</v>
          </cell>
          <cell r="CD34">
            <v>6.3538106929224234E-6</v>
          </cell>
          <cell r="CE34">
            <v>0</v>
          </cell>
          <cell r="CF34">
            <v>2.9673613087033385E-6</v>
          </cell>
          <cell r="CG34">
            <v>0</v>
          </cell>
          <cell r="CH34">
            <v>0</v>
          </cell>
          <cell r="CI34">
            <v>1.2385617169791729E-5</v>
          </cell>
          <cell r="CJ34">
            <v>0</v>
          </cell>
          <cell r="CK34">
            <v>9.0594446945516452E-6</v>
          </cell>
          <cell r="CL34">
            <v>0</v>
          </cell>
          <cell r="CM34">
            <v>3.3745990582521871E-6</v>
          </cell>
          <cell r="CN34">
            <v>0</v>
          </cell>
          <cell r="CO34">
            <v>0</v>
          </cell>
          <cell r="CP34">
            <v>5.7949463147993444E-6</v>
          </cell>
          <cell r="CQ34">
            <v>0</v>
          </cell>
          <cell r="CR34">
            <v>4.1785843827366573E-6</v>
          </cell>
          <cell r="CS34">
            <v>1.0468895439770331E-5</v>
          </cell>
          <cell r="CT34">
            <v>1.0292049366296282E-5</v>
          </cell>
          <cell r="CU34">
            <v>0</v>
          </cell>
          <cell r="CV34">
            <v>0</v>
          </cell>
          <cell r="CW34">
            <v>0</v>
          </cell>
          <cell r="CX34">
            <v>3.3530098823070962E-5</v>
          </cell>
          <cell r="CY34">
            <v>3.0576787442166648E-5</v>
          </cell>
          <cell r="CZ34">
            <v>2.0889032729738735E-5</v>
          </cell>
          <cell r="DA34">
            <v>3.0160497758668328E-5</v>
          </cell>
          <cell r="DB34">
            <v>3.5970420897702558E-5</v>
          </cell>
          <cell r="DC34">
            <v>2.779792659555958E-5</v>
          </cell>
          <cell r="DD34">
            <v>3.7196277848601102E-5</v>
          </cell>
          <cell r="DE34">
            <v>3.0362357725263608E-5</v>
          </cell>
          <cell r="DF34">
            <v>16.594526552904448</v>
          </cell>
        </row>
        <row r="35">
          <cell r="A35" t="str">
            <v>label</v>
          </cell>
          <cell r="B35">
            <v>2</v>
          </cell>
          <cell r="C35">
            <v>1</v>
          </cell>
          <cell r="D35">
            <v>4</v>
          </cell>
          <cell r="E35">
            <v>5</v>
          </cell>
          <cell r="F35">
            <v>3</v>
          </cell>
          <cell r="G35">
            <v>9</v>
          </cell>
          <cell r="H35">
            <v>8</v>
          </cell>
          <cell r="I35">
            <v>10</v>
          </cell>
          <cell r="J35">
            <v>6</v>
          </cell>
          <cell r="K35">
            <v>7</v>
          </cell>
          <cell r="L35">
            <v>12</v>
          </cell>
          <cell r="M35">
            <v>11</v>
          </cell>
          <cell r="N35">
            <v>14</v>
          </cell>
          <cell r="O35">
            <v>15</v>
          </cell>
          <cell r="P35">
            <v>13</v>
          </cell>
          <cell r="Q35">
            <v>19</v>
          </cell>
          <cell r="R35">
            <v>16</v>
          </cell>
          <cell r="S35">
            <v>18</v>
          </cell>
          <cell r="T35">
            <v>17</v>
          </cell>
          <cell r="U35">
            <v>20</v>
          </cell>
          <cell r="V35">
            <v>24</v>
          </cell>
          <cell r="W35">
            <v>21</v>
          </cell>
          <cell r="X35">
            <v>22</v>
          </cell>
          <cell r="Y35">
            <v>25</v>
          </cell>
          <cell r="Z35">
            <v>23</v>
          </cell>
          <cell r="AA35">
            <v>29</v>
          </cell>
          <cell r="AB35">
            <v>26</v>
          </cell>
          <cell r="AC35">
            <v>30</v>
          </cell>
          <cell r="AD35">
            <v>28</v>
          </cell>
          <cell r="AE35">
            <v>27</v>
          </cell>
          <cell r="AF35">
            <v>32</v>
          </cell>
          <cell r="AG35">
            <v>35</v>
          </cell>
          <cell r="AH35">
            <v>31</v>
          </cell>
          <cell r="AI35">
            <v>34</v>
          </cell>
          <cell r="AJ35">
            <v>33</v>
          </cell>
          <cell r="AK35">
            <v>40</v>
          </cell>
          <cell r="AL35">
            <v>39</v>
          </cell>
          <cell r="AM35">
            <v>37</v>
          </cell>
          <cell r="AN35">
            <v>38</v>
          </cell>
          <cell r="AO35">
            <v>36</v>
          </cell>
          <cell r="AP35">
            <v>41</v>
          </cell>
          <cell r="AQ35">
            <v>45</v>
          </cell>
          <cell r="AR35">
            <v>43</v>
          </cell>
          <cell r="AS35">
            <v>42</v>
          </cell>
          <cell r="AT35">
            <v>44</v>
          </cell>
          <cell r="AU35">
            <v>48</v>
          </cell>
          <cell r="AV35">
            <v>49</v>
          </cell>
          <cell r="AW35">
            <v>50</v>
          </cell>
          <cell r="AX35">
            <v>46</v>
          </cell>
          <cell r="AY35">
            <v>47</v>
          </cell>
          <cell r="AZ35">
            <v>53</v>
          </cell>
          <cell r="BA35">
            <v>55</v>
          </cell>
          <cell r="BB35">
            <v>54</v>
          </cell>
          <cell r="BC35">
            <v>52</v>
          </cell>
          <cell r="BD35">
            <v>51</v>
          </cell>
          <cell r="BE35">
            <v>57</v>
          </cell>
          <cell r="BF35">
            <v>56</v>
          </cell>
          <cell r="BG35">
            <v>58</v>
          </cell>
          <cell r="BH35">
            <v>59</v>
          </cell>
          <cell r="BI35">
            <v>60</v>
          </cell>
          <cell r="BJ35">
            <v>61</v>
          </cell>
          <cell r="BK35">
            <v>62</v>
          </cell>
          <cell r="BL35">
            <v>65</v>
          </cell>
          <cell r="BM35">
            <v>64</v>
          </cell>
          <cell r="BN35">
            <v>63</v>
          </cell>
          <cell r="BO35">
            <v>70</v>
          </cell>
          <cell r="BP35">
            <v>68</v>
          </cell>
          <cell r="BQ35">
            <v>69</v>
          </cell>
          <cell r="BR35">
            <v>67</v>
          </cell>
          <cell r="BS35">
            <v>66</v>
          </cell>
          <cell r="BT35">
            <v>73</v>
          </cell>
          <cell r="BU35">
            <v>74</v>
          </cell>
          <cell r="BV35">
            <v>71</v>
          </cell>
          <cell r="BW35">
            <v>75</v>
          </cell>
          <cell r="BX35">
            <v>72</v>
          </cell>
          <cell r="BY35">
            <v>79</v>
          </cell>
          <cell r="BZ35">
            <v>80</v>
          </cell>
          <cell r="CA35">
            <v>78</v>
          </cell>
          <cell r="CB35">
            <v>77</v>
          </cell>
          <cell r="CC35">
            <v>76</v>
          </cell>
          <cell r="CD35">
            <v>85</v>
          </cell>
          <cell r="CE35">
            <v>81</v>
          </cell>
          <cell r="CF35">
            <v>83</v>
          </cell>
          <cell r="CG35">
            <v>84</v>
          </cell>
          <cell r="CH35">
            <v>82</v>
          </cell>
          <cell r="CI35">
            <v>88</v>
          </cell>
          <cell r="CJ35">
            <v>86</v>
          </cell>
          <cell r="CK35">
            <v>87</v>
          </cell>
          <cell r="CL35">
            <v>89</v>
          </cell>
          <cell r="CM35">
            <v>90</v>
          </cell>
          <cell r="CN35">
            <v>94</v>
          </cell>
          <cell r="CO35">
            <v>93</v>
          </cell>
          <cell r="CP35">
            <v>92</v>
          </cell>
          <cell r="CQ35">
            <v>91</v>
          </cell>
          <cell r="CR35">
            <v>95</v>
          </cell>
          <cell r="CS35">
            <v>98</v>
          </cell>
          <cell r="CT35">
            <v>99</v>
          </cell>
          <cell r="CU35">
            <v>96</v>
          </cell>
          <cell r="CV35">
            <v>100</v>
          </cell>
          <cell r="CW35">
            <v>97</v>
          </cell>
          <cell r="CX35" t="str">
            <v>QC1</v>
          </cell>
          <cell r="CY35" t="str">
            <v>QC2</v>
          </cell>
          <cell r="CZ35" t="str">
            <v>QC3</v>
          </cell>
          <cell r="DA35" t="str">
            <v>QC4</v>
          </cell>
          <cell r="DB35" t="str">
            <v>QC5</v>
          </cell>
          <cell r="DC35" t="str">
            <v>QC6</v>
          </cell>
          <cell r="DD35" t="str">
            <v>QC7</v>
          </cell>
          <cell r="DE35" t="str">
            <v>QC8</v>
          </cell>
          <cell r="DF35" t="str">
            <v>CV</v>
          </cell>
        </row>
        <row r="36">
          <cell r="A36" t="str">
            <v>Hesperetin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6.0225091171458065E-5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 t="e">
            <v>#DIV/0!</v>
          </cell>
        </row>
        <row r="37">
          <cell r="A37" t="str">
            <v>Hesperidin</v>
          </cell>
          <cell r="B37">
            <v>8.1083217070181395E-4</v>
          </cell>
          <cell r="C37">
            <v>0</v>
          </cell>
          <cell r="D37">
            <v>2.8142896640023649E-4</v>
          </cell>
          <cell r="E37">
            <v>3.9933308379914219E-4</v>
          </cell>
          <cell r="F37">
            <v>1.1443523640171774E-4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4.9323334087672337E-4</v>
          </cell>
          <cell r="L37">
            <v>0</v>
          </cell>
          <cell r="M37">
            <v>6.8100115553960505E-4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1.4657104388062701E-4</v>
          </cell>
          <cell r="Z37">
            <v>1.2402027155692573E-4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1.795676848724585E-5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4.5535715679058846E-5</v>
          </cell>
          <cell r="BE37">
            <v>0</v>
          </cell>
          <cell r="BF37">
            <v>3.1802055835835843E-4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1.0865498848227845E-3</v>
          </cell>
          <cell r="BM37">
            <v>2.3930778129593769E-3</v>
          </cell>
          <cell r="BN37">
            <v>0</v>
          </cell>
          <cell r="BO37">
            <v>4.1029749588970982E-5</v>
          </cell>
          <cell r="BP37">
            <v>0</v>
          </cell>
          <cell r="BQ37">
            <v>6.8022306366398959E-5</v>
          </cell>
          <cell r="BR37">
            <v>0</v>
          </cell>
          <cell r="BS37">
            <v>0</v>
          </cell>
          <cell r="BT37">
            <v>1.2660296197780665E-6</v>
          </cell>
          <cell r="BU37">
            <v>0</v>
          </cell>
          <cell r="BV37">
            <v>0</v>
          </cell>
          <cell r="BW37">
            <v>6.1457600469701785E-5</v>
          </cell>
          <cell r="BX37">
            <v>0</v>
          </cell>
          <cell r="BY37">
            <v>2.9097790574447767E-5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1.3499475726067655E-6</v>
          </cell>
          <cell r="CP37">
            <v>0</v>
          </cell>
          <cell r="CQ37">
            <v>5.0703173988225395E-6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 t="e">
            <v>#DIV/0!</v>
          </cell>
        </row>
        <row r="38">
          <cell r="A38" t="str">
            <v>trans-2-Hydroxycinnamic acid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 t="e">
            <v>#DIV/0!</v>
          </cell>
        </row>
      </sheetData>
      <sheetData sheetId="6"/>
      <sheetData sheetId="7"/>
      <sheetData sheetId="8"/>
      <sheetData sheetId="9"/>
      <sheetData sheetId="10">
        <row r="2">
          <cell r="A2" t="str">
            <v>(Isomer 2,3-/2,4-/2,6-)DHB acid</v>
          </cell>
          <cell r="B2">
            <v>14.988</v>
          </cell>
        </row>
        <row r="3">
          <cell r="A3" t="str">
            <v>Chlorogenic acid</v>
          </cell>
          <cell r="B3">
            <v>12.159000000000001</v>
          </cell>
        </row>
        <row r="4">
          <cell r="A4" t="str">
            <v>4-Acetocatechol</v>
          </cell>
          <cell r="B4">
            <v>3.0918999999999999</v>
          </cell>
        </row>
        <row r="5">
          <cell r="A5" t="str">
            <v>Ferulic acid</v>
          </cell>
          <cell r="B5">
            <v>2.8687</v>
          </cell>
        </row>
        <row r="6">
          <cell r="A6" t="str">
            <v>p-Coumaric</v>
          </cell>
          <cell r="B6">
            <v>2.7275</v>
          </cell>
        </row>
        <row r="7">
          <cell r="A7" t="str">
            <v>Sinapic acid</v>
          </cell>
          <cell r="B7">
            <v>2.3584000000000001</v>
          </cell>
        </row>
        <row r="8">
          <cell r="A8" t="str">
            <v>(+)-Catechin (Hydrate)</v>
          </cell>
          <cell r="B8">
            <v>0.45794000000000001</v>
          </cell>
        </row>
        <row r="9">
          <cell r="A9" t="str">
            <v>Vanillic acid</v>
          </cell>
          <cell r="B9">
            <v>1.9633</v>
          </cell>
        </row>
        <row r="10">
          <cell r="A10" t="str">
            <v>Salicylic acid</v>
          </cell>
          <cell r="B10">
            <v>1.9592000000000001</v>
          </cell>
        </row>
        <row r="11">
          <cell r="A11" t="str">
            <v>Phloretin</v>
          </cell>
          <cell r="B11">
            <v>0.54200999999999999</v>
          </cell>
        </row>
        <row r="12">
          <cell r="A12" t="str">
            <v>Myricetin</v>
          </cell>
          <cell r="B12">
            <v>0.54669000000000001</v>
          </cell>
        </row>
        <row r="13">
          <cell r="A13" t="str">
            <v>Acetylphloroglucinol</v>
          </cell>
          <cell r="B13">
            <v>0.55496999999999996</v>
          </cell>
        </row>
        <row r="14">
          <cell r="A14" t="str">
            <v>Gallic acid</v>
          </cell>
          <cell r="B14">
            <v>1.7602</v>
          </cell>
        </row>
        <row r="15">
          <cell r="A15" t="str">
            <v>3;5-DHB acid</v>
          </cell>
          <cell r="B15">
            <v>0.59816000000000003</v>
          </cell>
        </row>
        <row r="16">
          <cell r="A16" t="str">
            <v>Caffeic acid</v>
          </cell>
          <cell r="B16">
            <v>1.5322</v>
          </cell>
        </row>
        <row r="17">
          <cell r="A17" t="str">
            <v>Luteolin</v>
          </cell>
          <cell r="B17">
            <v>0.66569</v>
          </cell>
        </row>
        <row r="18">
          <cell r="A18" t="str">
            <v>Apigenin</v>
          </cell>
          <cell r="B18">
            <v>0.67286000000000001</v>
          </cell>
        </row>
        <row r="19">
          <cell r="A19" t="str">
            <v>Catechol</v>
          </cell>
          <cell r="B19">
            <v>1.4745999999999999</v>
          </cell>
        </row>
        <row r="20">
          <cell r="A20" t="str">
            <v>Diosmetin</v>
          </cell>
          <cell r="B20">
            <v>1.4681</v>
          </cell>
        </row>
        <row r="21">
          <cell r="A21" t="str">
            <v>Polydatin</v>
          </cell>
          <cell r="B21">
            <v>0.85011999999999999</v>
          </cell>
        </row>
        <row r="22">
          <cell r="A22" t="str">
            <v>Phloridzin</v>
          </cell>
          <cell r="B22">
            <v>1.1374</v>
          </cell>
        </row>
        <row r="23">
          <cell r="A23" t="str">
            <v>Syringic acid</v>
          </cell>
          <cell r="B23">
            <v>1.1331</v>
          </cell>
        </row>
        <row r="24">
          <cell r="A24" t="str">
            <v>(+)-Taxifolin</v>
          </cell>
          <cell r="B24">
            <v>1.1306</v>
          </cell>
        </row>
        <row r="25">
          <cell r="A25" t="str">
            <v>(+/-)-Naringenin</v>
          </cell>
          <cell r="B25">
            <v>1.1284000000000001</v>
          </cell>
        </row>
        <row r="26">
          <cell r="A26" t="str">
            <v>Quercetin</v>
          </cell>
          <cell r="B26">
            <v>0.90114000000000005</v>
          </cell>
        </row>
        <row r="27">
          <cell r="A27" t="str">
            <v>Morin</v>
          </cell>
          <cell r="B27">
            <v>0.91768000000000005</v>
          </cell>
        </row>
        <row r="28">
          <cell r="A28" t="str">
            <v>4-Hydroxybenzoic acid</v>
          </cell>
          <cell r="B28">
            <v>1.0644</v>
          </cell>
        </row>
        <row r="29">
          <cell r="A29" t="str">
            <v>Kaempferol</v>
          </cell>
          <cell r="B29">
            <v>1.0276000000000001</v>
          </cell>
        </row>
        <row r="30">
          <cell r="A30" t="str">
            <v>2;3;4-THB acid</v>
          </cell>
          <cell r="B30">
            <v>1.0203</v>
          </cell>
        </row>
      </sheetData>
      <sheetData sheetId="11">
        <row r="2">
          <cell r="A2" t="str">
            <v>4-Acetocatechol</v>
          </cell>
          <cell r="B2">
            <v>-6.3186999999999998</v>
          </cell>
          <cell r="C2">
            <v>4.0422999999999997E-8</v>
          </cell>
          <cell r="D2">
            <v>7.3933999999999997</v>
          </cell>
          <cell r="E2">
            <v>1.1723E-6</v>
          </cell>
        </row>
        <row r="3">
          <cell r="A3" t="str">
            <v>p-Coumaric</v>
          </cell>
          <cell r="B3">
            <v>-5.6688000000000001</v>
          </cell>
          <cell r="C3">
            <v>4.7590000000000002E-7</v>
          </cell>
          <cell r="D3">
            <v>6.3224999999999998</v>
          </cell>
          <cell r="E3">
            <v>6.9005999999999996E-6</v>
          </cell>
        </row>
        <row r="4">
          <cell r="A4" t="str">
            <v>Ferulic acid</v>
          </cell>
          <cell r="B4">
            <v>-4.8066000000000004</v>
          </cell>
          <cell r="C4">
            <v>1.1263999999999999E-5</v>
          </cell>
          <cell r="D4">
            <v>4.9482999999999997</v>
          </cell>
          <cell r="E4">
            <v>1.0889E-4</v>
          </cell>
        </row>
        <row r="5">
          <cell r="A5" t="str">
            <v>Sinapic acid</v>
          </cell>
          <cell r="B5">
            <v>-3.8254000000000001</v>
          </cell>
          <cell r="C5">
            <v>3.2171000000000001E-4</v>
          </cell>
          <cell r="D5">
            <v>3.4925000000000002</v>
          </cell>
          <cell r="E5">
            <v>2.3324000000000001E-3</v>
          </cell>
        </row>
        <row r="6">
          <cell r="A6" t="str">
            <v>Vanillic acid</v>
          </cell>
          <cell r="B6">
            <v>-3.3580999999999999</v>
          </cell>
          <cell r="C6">
            <v>1.3910000000000001E-3</v>
          </cell>
          <cell r="D6">
            <v>2.8567</v>
          </cell>
          <cell r="E6">
            <v>8.0678E-3</v>
          </cell>
        </row>
        <row r="7">
          <cell r="A7" t="str">
            <v>(Isomer 2, 3-/2, 4-/2,6-)DHB acid</v>
          </cell>
          <cell r="B7">
            <v>-3.0106999999999999</v>
          </cell>
          <cell r="C7">
            <v>3.8552E-3</v>
          </cell>
          <cell r="D7">
            <v>2.4140000000000001</v>
          </cell>
          <cell r="E7">
            <v>1.8633E-2</v>
          </cell>
        </row>
        <row r="8">
          <cell r="A8" t="str">
            <v>Luteolin</v>
          </cell>
          <cell r="B8">
            <v>2.7823000000000002</v>
          </cell>
          <cell r="C8">
            <v>7.2715000000000002E-3</v>
          </cell>
          <cell r="D8">
            <v>2.1383999999999999</v>
          </cell>
          <cell r="E8">
            <v>3.0124999999999999E-2</v>
          </cell>
        </row>
        <row r="9">
          <cell r="A9" t="str">
            <v>Phloretin</v>
          </cell>
          <cell r="B9">
            <v>2.6876000000000002</v>
          </cell>
          <cell r="C9">
            <v>9.3758000000000001E-3</v>
          </cell>
          <cell r="D9">
            <v>2.028</v>
          </cell>
          <cell r="E9">
            <v>3.0585000000000001E-2</v>
          </cell>
        </row>
        <row r="10">
          <cell r="A10" t="str">
            <v>Chlorogenic acid</v>
          </cell>
          <cell r="B10">
            <v>-2.6829999999999998</v>
          </cell>
          <cell r="C10">
            <v>9.4920000000000004E-3</v>
          </cell>
          <cell r="D10">
            <v>2.0226000000000002</v>
          </cell>
          <cell r="E10">
            <v>3.0585000000000001E-2</v>
          </cell>
        </row>
        <row r="11">
          <cell r="A11" t="str">
            <v>Salicylic acid</v>
          </cell>
          <cell r="B11">
            <v>-2.4698000000000002</v>
          </cell>
          <cell r="C11">
            <v>1.6480999999999999E-2</v>
          </cell>
          <cell r="D11">
            <v>1.7829999999999999</v>
          </cell>
          <cell r="E11">
            <v>4.7795999999999998E-2</v>
          </cell>
        </row>
      </sheetData>
      <sheetData sheetId="12">
        <row r="2">
          <cell r="A2" t="str">
            <v>4-Acetocatechol</v>
          </cell>
          <cell r="B2">
            <v>2.2359</v>
          </cell>
        </row>
        <row r="3">
          <cell r="A3" t="str">
            <v>p-Coumaric</v>
          </cell>
          <cell r="B3">
            <v>2.0908000000000002</v>
          </cell>
        </row>
        <row r="4">
          <cell r="A4" t="str">
            <v>Ferulic acid</v>
          </cell>
          <cell r="B4">
            <v>1.8689</v>
          </cell>
        </row>
        <row r="5">
          <cell r="A5" t="str">
            <v>Sinapic acid</v>
          </cell>
          <cell r="B5">
            <v>1.5717000000000001</v>
          </cell>
        </row>
        <row r="6">
          <cell r="A6" t="str">
            <v>Vanillic acid</v>
          </cell>
          <cell r="B6">
            <v>1.4128000000000001</v>
          </cell>
        </row>
        <row r="7">
          <cell r="A7" t="str">
            <v>(Isomer 2, 3-/2, 4-/2,6-)DHB acid</v>
          </cell>
          <cell r="B7">
            <v>1.2873000000000001</v>
          </cell>
        </row>
        <row r="8">
          <cell r="A8" t="str">
            <v>Luteolin</v>
          </cell>
          <cell r="B8">
            <v>1.2016</v>
          </cell>
        </row>
        <row r="9">
          <cell r="A9" t="str">
            <v>Phloretin</v>
          </cell>
          <cell r="B9">
            <v>1.1653</v>
          </cell>
        </row>
        <row r="10">
          <cell r="A10" t="str">
            <v>Chlorogenic acid</v>
          </cell>
          <cell r="B10">
            <v>1.1635</v>
          </cell>
        </row>
        <row r="11">
          <cell r="A11" t="str">
            <v>Salicylic acid</v>
          </cell>
          <cell r="B11">
            <v>1.0802</v>
          </cell>
        </row>
        <row r="12">
          <cell r="A12" t="str">
            <v>3;5-DHB acid</v>
          </cell>
          <cell r="B12">
            <v>1.0478000000000001</v>
          </cell>
        </row>
        <row r="13">
          <cell r="A13" t="str">
            <v>Quercetin</v>
          </cell>
          <cell r="B13">
            <v>0.86721000000000004</v>
          </cell>
        </row>
        <row r="14">
          <cell r="A14" t="str">
            <v>Morin</v>
          </cell>
          <cell r="B14">
            <v>0.71638999999999997</v>
          </cell>
        </row>
        <row r="15">
          <cell r="A15" t="str">
            <v>(+)-Catechin (Hydrate)</v>
          </cell>
          <cell r="B15">
            <v>0.59670000000000001</v>
          </cell>
        </row>
        <row r="16">
          <cell r="A16" t="str">
            <v>Apigenin</v>
          </cell>
          <cell r="B16">
            <v>0.57513999999999998</v>
          </cell>
        </row>
        <row r="17">
          <cell r="A17" t="str">
            <v>Gallic acid</v>
          </cell>
          <cell r="B17">
            <v>0.55725999999999998</v>
          </cell>
        </row>
        <row r="18">
          <cell r="A18" t="str">
            <v>Myricetin</v>
          </cell>
          <cell r="B18">
            <v>0.44678000000000001</v>
          </cell>
        </row>
        <row r="19">
          <cell r="A19" t="str">
            <v>Phloridzin</v>
          </cell>
          <cell r="B19">
            <v>0.44102999999999998</v>
          </cell>
        </row>
        <row r="20">
          <cell r="A20" t="str">
            <v>Caffeic acid</v>
          </cell>
          <cell r="B20">
            <v>0.42802000000000001</v>
          </cell>
        </row>
        <row r="21">
          <cell r="A21" t="str">
            <v>Acetylphloroglucinol</v>
          </cell>
          <cell r="B21">
            <v>0.42388999999999999</v>
          </cell>
        </row>
        <row r="22">
          <cell r="A22" t="str">
            <v>Syringic acid</v>
          </cell>
          <cell r="B22">
            <v>0.37007000000000001</v>
          </cell>
        </row>
        <row r="23">
          <cell r="A23" t="str">
            <v>Diosmetin</v>
          </cell>
          <cell r="B23">
            <v>0.31784000000000001</v>
          </cell>
        </row>
        <row r="24">
          <cell r="A24" t="str">
            <v>(+)-Taxifolin</v>
          </cell>
          <cell r="B24">
            <v>0.30188999999999999</v>
          </cell>
        </row>
        <row r="25">
          <cell r="A25" t="str">
            <v>2;3;4-THB acid</v>
          </cell>
          <cell r="B25">
            <v>0.28025</v>
          </cell>
        </row>
        <row r="26">
          <cell r="A26" t="str">
            <v>Catechol</v>
          </cell>
          <cell r="B26">
            <v>0.23089000000000001</v>
          </cell>
        </row>
        <row r="27">
          <cell r="A27" t="str">
            <v>(+/-)-Naringenin</v>
          </cell>
          <cell r="B27">
            <v>0.22314999999999999</v>
          </cell>
        </row>
        <row r="28">
          <cell r="A28" t="str">
            <v>4-Hydroxybenzoic acid</v>
          </cell>
          <cell r="B28">
            <v>0.17615</v>
          </cell>
        </row>
        <row r="29">
          <cell r="A29" t="str">
            <v>Polydatin</v>
          </cell>
          <cell r="B29">
            <v>0.17246</v>
          </cell>
        </row>
        <row r="30">
          <cell r="A30" t="str">
            <v>Kaempferol</v>
          </cell>
          <cell r="B30">
            <v>4.4400000000000002E-2</v>
          </cell>
        </row>
      </sheetData>
      <sheetData sheetId="13"/>
      <sheetData sheetId="14"/>
      <sheetData sheetId="15"/>
      <sheetData sheetId="16"/>
      <sheetData sheetId="17">
        <row r="2">
          <cell r="A2" t="str">
            <v>3;5-DHB acid</v>
          </cell>
          <cell r="B2">
            <v>1.6869000000000001</v>
          </cell>
        </row>
        <row r="3">
          <cell r="A3" t="str">
            <v>4-Acetocatechol</v>
          </cell>
          <cell r="B3">
            <v>1.6611</v>
          </cell>
        </row>
        <row r="4">
          <cell r="A4" t="str">
            <v>Luteolin</v>
          </cell>
          <cell r="B4">
            <v>1.6235999999999999</v>
          </cell>
        </row>
        <row r="5">
          <cell r="A5" t="str">
            <v>p-Coumaric</v>
          </cell>
          <cell r="B5">
            <v>1.5428999999999999</v>
          </cell>
        </row>
        <row r="6">
          <cell r="A6" t="str">
            <v>(+)-Catechin (Hydrate)</v>
          </cell>
          <cell r="B6">
            <v>1.4663999999999999</v>
          </cell>
        </row>
        <row r="7">
          <cell r="A7" t="str">
            <v>Ferulic acid</v>
          </cell>
          <cell r="B7">
            <v>1.4312</v>
          </cell>
        </row>
        <row r="8">
          <cell r="A8" t="str">
            <v>Polydatin</v>
          </cell>
          <cell r="B8">
            <v>1.3911</v>
          </cell>
        </row>
        <row r="9">
          <cell r="A9" t="str">
            <v>Sinapic acid</v>
          </cell>
          <cell r="B9">
            <v>1.2279</v>
          </cell>
        </row>
        <row r="10">
          <cell r="A10" t="str">
            <v>Apigenin</v>
          </cell>
          <cell r="B10">
            <v>1.2136</v>
          </cell>
        </row>
        <row r="11">
          <cell r="A11" t="str">
            <v>Acetylphloroglucinol</v>
          </cell>
          <cell r="B11">
            <v>1.1867000000000001</v>
          </cell>
        </row>
        <row r="12">
          <cell r="A12" t="str">
            <v>Catechol</v>
          </cell>
          <cell r="B12">
            <v>1.0742</v>
          </cell>
        </row>
        <row r="13">
          <cell r="A13" t="str">
            <v>Morin</v>
          </cell>
          <cell r="B13">
            <v>1.0239</v>
          </cell>
        </row>
        <row r="14">
          <cell r="A14" t="str">
            <v>Quercetin</v>
          </cell>
          <cell r="B14">
            <v>1.0236000000000001</v>
          </cell>
        </row>
        <row r="15">
          <cell r="A15" t="str">
            <v>Gallic acid</v>
          </cell>
          <cell r="B15">
            <v>0.98585</v>
          </cell>
        </row>
        <row r="16">
          <cell r="A16" t="str">
            <v>Vanillic acid</v>
          </cell>
          <cell r="B16">
            <v>0.88719999999999999</v>
          </cell>
        </row>
        <row r="17">
          <cell r="A17" t="str">
            <v>Salicylic acid</v>
          </cell>
          <cell r="B17">
            <v>0.86924000000000001</v>
          </cell>
        </row>
        <row r="18">
          <cell r="A18" t="str">
            <v>Chlorogenic acid</v>
          </cell>
          <cell r="B18">
            <v>0.83858999999999995</v>
          </cell>
        </row>
        <row r="19">
          <cell r="A19" t="str">
            <v>Rosmarinic acid</v>
          </cell>
          <cell r="B19">
            <v>0.80503999999999998</v>
          </cell>
        </row>
        <row r="20">
          <cell r="A20" t="str">
            <v>Kaempferol</v>
          </cell>
          <cell r="B20">
            <v>0.77637999999999996</v>
          </cell>
        </row>
        <row r="21">
          <cell r="A21" t="str">
            <v>2;3;4-THB acid</v>
          </cell>
          <cell r="B21">
            <v>0.75748000000000004</v>
          </cell>
        </row>
        <row r="22">
          <cell r="A22" t="str">
            <v>Myricetin</v>
          </cell>
          <cell r="B22">
            <v>0.71226999999999996</v>
          </cell>
        </row>
        <row r="23">
          <cell r="A23" t="str">
            <v>Syringic acid</v>
          </cell>
          <cell r="B23">
            <v>0.58760000000000001</v>
          </cell>
        </row>
        <row r="24">
          <cell r="A24" t="str">
            <v>Caffeic acid</v>
          </cell>
          <cell r="B24">
            <v>0.54268000000000005</v>
          </cell>
        </row>
        <row r="25">
          <cell r="A25" t="str">
            <v>(Isomer 2,3-/2,4-/2,6-)DHB acid</v>
          </cell>
          <cell r="B25">
            <v>0.44640000000000002</v>
          </cell>
        </row>
        <row r="26">
          <cell r="A26" t="str">
            <v>(+)-Taxifolin</v>
          </cell>
          <cell r="B26">
            <v>0.3145</v>
          </cell>
        </row>
        <row r="27">
          <cell r="A27" t="str">
            <v>Diosmetin</v>
          </cell>
          <cell r="B27">
            <v>0.28882000000000002</v>
          </cell>
        </row>
        <row r="28">
          <cell r="A28" t="str">
            <v>Isoliquiritigenin</v>
          </cell>
          <cell r="B28">
            <v>0.14294000000000001</v>
          </cell>
        </row>
        <row r="29">
          <cell r="A29" t="str">
            <v>Phloretin</v>
          </cell>
          <cell r="B29">
            <v>8.8710999999999998E-2</v>
          </cell>
        </row>
        <row r="30">
          <cell r="A30" t="str">
            <v>4-Hydroxybenzoic acid</v>
          </cell>
          <cell r="B30">
            <v>6.5402000000000002E-2</v>
          </cell>
        </row>
        <row r="31">
          <cell r="A31" t="str">
            <v>(+/-)-Naringenin</v>
          </cell>
          <cell r="B31">
            <v>3.6561000000000003E-2</v>
          </cell>
        </row>
        <row r="32">
          <cell r="A32" t="str">
            <v>Phloridzin</v>
          </cell>
          <cell r="B32">
            <v>2.8722999999999999E-2</v>
          </cell>
        </row>
      </sheetData>
      <sheetData sheetId="18">
        <row r="2">
          <cell r="A2" t="str">
            <v>3;5-DHB acid</v>
          </cell>
          <cell r="B2">
            <v>-9.6404999999999994</v>
          </cell>
          <cell r="C2">
            <v>9.3520999999999993E-12</v>
          </cell>
          <cell r="D2">
            <v>11.029</v>
          </cell>
          <cell r="E2">
            <v>2.8990999999999998E-10</v>
          </cell>
        </row>
        <row r="3">
          <cell r="A3" t="str">
            <v>4-Acetocatechol</v>
          </cell>
          <cell r="B3">
            <v>-9.1575000000000006</v>
          </cell>
          <cell r="C3">
            <v>3.7158E-11</v>
          </cell>
          <cell r="D3">
            <v>10.43</v>
          </cell>
          <cell r="E3">
            <v>5.7594999999999996E-10</v>
          </cell>
        </row>
        <row r="4">
          <cell r="A4" t="str">
            <v>Luteolin</v>
          </cell>
          <cell r="B4">
            <v>-8.5406999999999993</v>
          </cell>
          <cell r="C4">
            <v>2.2577999999999999E-10</v>
          </cell>
          <cell r="D4">
            <v>9.6463000000000001</v>
          </cell>
          <cell r="E4">
            <v>2.3331000000000001E-9</v>
          </cell>
        </row>
        <row r="5">
          <cell r="A5" t="str">
            <v>p-Coumaric</v>
          </cell>
          <cell r="B5">
            <v>7.4523000000000001</v>
          </cell>
          <cell r="C5">
            <v>6.0598999999999997E-9</v>
          </cell>
          <cell r="D5">
            <v>8.2174999999999994</v>
          </cell>
          <cell r="E5">
            <v>4.6964000000000003E-8</v>
          </cell>
        </row>
        <row r="6">
          <cell r="A6" t="str">
            <v>(+)-Catechin (Hydrate)</v>
          </cell>
          <cell r="B6">
            <v>-6.6302000000000003</v>
          </cell>
          <cell r="C6">
            <v>7.8167000000000001E-8</v>
          </cell>
          <cell r="D6">
            <v>7.1070000000000002</v>
          </cell>
          <cell r="E6">
            <v>4.8464000000000003E-7</v>
          </cell>
        </row>
        <row r="7">
          <cell r="A7" t="str">
            <v>Ferulic acid</v>
          </cell>
          <cell r="B7">
            <v>6.3005000000000004</v>
          </cell>
          <cell r="C7">
            <v>2.205E-7</v>
          </cell>
          <cell r="D7">
            <v>6.6566000000000001</v>
          </cell>
          <cell r="E7">
            <v>1.1393E-6</v>
          </cell>
        </row>
        <row r="8">
          <cell r="A8" t="str">
            <v>Polydatin</v>
          </cell>
          <cell r="B8">
            <v>5.9542999999999999</v>
          </cell>
          <cell r="C8">
            <v>6.5772999999999995E-7</v>
          </cell>
          <cell r="D8">
            <v>6.1820000000000004</v>
          </cell>
          <cell r="E8">
            <v>2.9127999999999999E-6</v>
          </cell>
        </row>
        <row r="9">
          <cell r="A9" t="str">
            <v>Sinapic acid</v>
          </cell>
          <cell r="B9">
            <v>4.7858999999999998</v>
          </cell>
          <cell r="C9">
            <v>2.5854999999999999E-5</v>
          </cell>
          <cell r="D9">
            <v>4.5875000000000004</v>
          </cell>
          <cell r="E9">
            <v>1.0019E-4</v>
          </cell>
        </row>
        <row r="10">
          <cell r="A10" t="str">
            <v>Apigenin</v>
          </cell>
          <cell r="B10">
            <v>-4.6970000000000001</v>
          </cell>
          <cell r="C10">
            <v>3.4048000000000003E-5</v>
          </cell>
          <cell r="D10">
            <v>4.4679000000000002</v>
          </cell>
          <cell r="E10">
            <v>1.1728E-4</v>
          </cell>
        </row>
        <row r="11">
          <cell r="A11" t="str">
            <v>Acetylphloroglucinol</v>
          </cell>
          <cell r="B11">
            <v>-4.5354999999999999</v>
          </cell>
          <cell r="C11">
            <v>5.5988E-5</v>
          </cell>
          <cell r="D11">
            <v>4.2519</v>
          </cell>
          <cell r="E11">
            <v>1.7356000000000001E-4</v>
          </cell>
        </row>
        <row r="12">
          <cell r="A12" t="str">
            <v>Catechol</v>
          </cell>
          <cell r="B12">
            <v>-3.9184999999999999</v>
          </cell>
          <cell r="C12">
            <v>3.5932E-4</v>
          </cell>
          <cell r="D12">
            <v>3.4445000000000001</v>
          </cell>
          <cell r="E12">
            <v>1.0126E-3</v>
          </cell>
        </row>
        <row r="13">
          <cell r="A13" t="str">
            <v>Morin</v>
          </cell>
          <cell r="B13">
            <v>3.6678999999999999</v>
          </cell>
          <cell r="C13">
            <v>7.4613000000000001E-4</v>
          </cell>
          <cell r="D13">
            <v>3.1272000000000002</v>
          </cell>
          <cell r="E13">
            <v>1.7871E-3</v>
          </cell>
        </row>
        <row r="14">
          <cell r="A14" t="str">
            <v>Quercetin</v>
          </cell>
          <cell r="B14">
            <v>3.6663000000000001</v>
          </cell>
          <cell r="C14">
            <v>7.4945000000000003E-4</v>
          </cell>
          <cell r="D14">
            <v>3.1253000000000002</v>
          </cell>
          <cell r="E14">
            <v>1.7871E-3</v>
          </cell>
        </row>
        <row r="15">
          <cell r="A15" t="str">
            <v>Gallic acid</v>
          </cell>
          <cell r="B15">
            <v>3.4870000000000001</v>
          </cell>
          <cell r="C15">
            <v>1.2503E-3</v>
          </cell>
          <cell r="D15">
            <v>2.903</v>
          </cell>
          <cell r="E15">
            <v>2.7686E-3</v>
          </cell>
        </row>
        <row r="16">
          <cell r="A16" t="str">
            <v>Vanillic acid</v>
          </cell>
          <cell r="B16">
            <v>-3.0467</v>
          </cell>
          <cell r="C16">
            <v>4.1926000000000003E-3</v>
          </cell>
          <cell r="D16">
            <v>2.3774999999999999</v>
          </cell>
          <cell r="E16">
            <v>8.6646999999999991E-3</v>
          </cell>
        </row>
        <row r="17">
          <cell r="A17" t="str">
            <v>Salicylic acid</v>
          </cell>
          <cell r="B17">
            <v>2.9704999999999999</v>
          </cell>
          <cell r="C17">
            <v>5.1301000000000003E-3</v>
          </cell>
          <cell r="D17">
            <v>2.2898999999999998</v>
          </cell>
          <cell r="E17">
            <v>9.9395000000000004E-3</v>
          </cell>
        </row>
        <row r="18">
          <cell r="A18" t="str">
            <v>Chlorogenic acid</v>
          </cell>
          <cell r="B18">
            <v>2.843</v>
          </cell>
          <cell r="C18">
            <v>7.1528E-3</v>
          </cell>
          <cell r="D18">
            <v>2.1455000000000002</v>
          </cell>
          <cell r="E18">
            <v>1.3043000000000001E-2</v>
          </cell>
        </row>
        <row r="19">
          <cell r="A19" t="str">
            <v>Rosmarinic acid</v>
          </cell>
          <cell r="B19">
            <v>2.7067999999999999</v>
          </cell>
          <cell r="C19">
            <v>1.0121E-2</v>
          </cell>
          <cell r="D19">
            <v>1.9947999999999999</v>
          </cell>
          <cell r="E19">
            <v>1.7430000000000001E-2</v>
          </cell>
        </row>
        <row r="20">
          <cell r="A20" t="str">
            <v>Kaempferol</v>
          </cell>
          <cell r="B20">
            <v>-2.593</v>
          </cell>
          <cell r="C20">
            <v>1.3433E-2</v>
          </cell>
          <cell r="D20">
            <v>1.8717999999999999</v>
          </cell>
          <cell r="E20">
            <v>2.1916999999999999E-2</v>
          </cell>
        </row>
        <row r="21">
          <cell r="A21" t="str">
            <v>2;3;4-THB acid</v>
          </cell>
          <cell r="B21">
            <v>2.5192000000000001</v>
          </cell>
          <cell r="C21">
            <v>1.6088000000000002E-2</v>
          </cell>
          <cell r="D21">
            <v>1.7935000000000001</v>
          </cell>
          <cell r="E21">
            <v>2.4937000000000001E-2</v>
          </cell>
        </row>
        <row r="22">
          <cell r="A22" t="str">
            <v>Myricetin</v>
          </cell>
          <cell r="B22">
            <v>-2.3462999999999998</v>
          </cell>
          <cell r="C22">
            <v>2.4279999999999999E-2</v>
          </cell>
          <cell r="D22">
            <v>1.6147</v>
          </cell>
          <cell r="E22">
            <v>3.5843E-2</v>
          </cell>
        </row>
      </sheetData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6DFB-A791-4844-89D3-1EA327768B50}">
  <dimension ref="A1:P16"/>
  <sheetViews>
    <sheetView showGridLines="0" tabSelected="1" zoomScale="110" zoomScaleNormal="110" workbookViewId="0">
      <selection activeCell="B6" sqref="B6:B7"/>
    </sheetView>
  </sheetViews>
  <sheetFormatPr baseColWidth="10" defaultColWidth="8.77734375" defaultRowHeight="13.8" x14ac:dyDescent="0.25"/>
  <cols>
    <col min="1" max="1" width="29.21875" style="11" bestFit="1" customWidth="1"/>
    <col min="2" max="2" width="12.77734375" style="11" customWidth="1"/>
    <col min="3" max="3" width="8.77734375" style="26" customWidth="1"/>
    <col min="4" max="4" width="18" style="26" customWidth="1"/>
    <col min="5" max="5" width="11.44140625" style="26" customWidth="1"/>
    <col min="6" max="6" width="6.88671875" style="26" customWidth="1"/>
    <col min="7" max="8" width="8.77734375" style="26"/>
    <col min="9" max="9" width="12.33203125" style="26" bestFit="1" customWidth="1"/>
    <col min="10" max="10" width="10.44140625" style="19" bestFit="1" customWidth="1"/>
    <col min="11" max="12" width="8.77734375" style="19"/>
    <col min="13" max="13" width="22.109375" style="11" customWidth="1"/>
    <col min="14" max="16384" width="8.77734375" style="11"/>
  </cols>
  <sheetData>
    <row r="1" spans="1:16" s="2" customFormat="1" ht="26.4" customHeight="1" x14ac:dyDescent="0.3">
      <c r="H1" s="3" t="s">
        <v>57</v>
      </c>
      <c r="I1" s="3"/>
      <c r="J1" s="3"/>
    </row>
    <row r="2" spans="1:16" s="7" customFormat="1" ht="30.6" x14ac:dyDescent="0.3">
      <c r="A2" s="4" t="s">
        <v>58</v>
      </c>
      <c r="B2" s="4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4" t="s">
        <v>64</v>
      </c>
      <c r="H2" s="4" t="s">
        <v>65</v>
      </c>
      <c r="I2" s="6" t="s">
        <v>66</v>
      </c>
      <c r="J2" s="6" t="s">
        <v>67</v>
      </c>
      <c r="L2" s="8"/>
      <c r="M2" s="8"/>
      <c r="N2" s="8"/>
      <c r="O2" s="8"/>
      <c r="P2" s="8"/>
    </row>
    <row r="3" spans="1:16" s="2" customFormat="1" x14ac:dyDescent="0.3">
      <c r="A3" s="9" t="s">
        <v>68</v>
      </c>
      <c r="B3" s="9"/>
      <c r="C3" s="9"/>
      <c r="D3" s="9"/>
      <c r="E3" s="9"/>
      <c r="F3" s="9"/>
      <c r="G3" s="9"/>
      <c r="H3" s="9"/>
      <c r="I3" s="9"/>
      <c r="J3" s="9"/>
      <c r="K3" s="10"/>
      <c r="L3" s="10"/>
      <c r="N3" s="10"/>
      <c r="O3" s="10"/>
      <c r="P3" s="10"/>
    </row>
    <row r="4" spans="1:16" ht="16.2" x14ac:dyDescent="0.25">
      <c r="A4" s="11" t="s">
        <v>42</v>
      </c>
      <c r="B4" s="12" t="s">
        <v>69</v>
      </c>
      <c r="C4" s="13">
        <v>12.725</v>
      </c>
      <c r="D4" s="13" t="s">
        <v>70</v>
      </c>
      <c r="E4" s="14">
        <v>100</v>
      </c>
      <c r="F4" s="14">
        <v>38</v>
      </c>
      <c r="G4" s="15">
        <f>VLOOKUP(A4,[1]SERRF_CVQC_DEPURADA!$A$1:$DF$38,110,FALSE)</f>
        <v>3.6105806407195589</v>
      </c>
      <c r="H4" s="16">
        <f>VLOOKUP(A4,[1]fold_change!$A$2:$B$30,2,FALSE)</f>
        <v>0.66569</v>
      </c>
      <c r="I4" s="17">
        <f>VLOOKUP(A4,[1]plsda_vip!$A$2:$B$30,2,FALSE)</f>
        <v>1.2016</v>
      </c>
      <c r="J4" s="18">
        <f>VLOOKUP(A4,[1]t_test!$A$2:$E$11,5,FALSE)</f>
        <v>3.0124999999999999E-2</v>
      </c>
    </row>
    <row r="5" spans="1:16" ht="16.2" x14ac:dyDescent="0.25">
      <c r="A5" s="11" t="s">
        <v>37</v>
      </c>
      <c r="B5" s="12" t="s">
        <v>71</v>
      </c>
      <c r="C5" s="13">
        <v>13.843999999999999</v>
      </c>
      <c r="D5" s="13" t="s">
        <v>72</v>
      </c>
      <c r="E5" s="20">
        <v>100</v>
      </c>
      <c r="F5" s="20">
        <v>14</v>
      </c>
      <c r="G5" s="15">
        <f>VLOOKUP(A5,[1]SERRF_CVQC_DEPURADA!$A$1:$DF$38,110,FALSE)</f>
        <v>2.6729091421383058</v>
      </c>
      <c r="H5" s="16">
        <f>VLOOKUP(A5,[1]fold_change!$A$2:$B$30,2,FALSE)</f>
        <v>0.54200999999999999</v>
      </c>
      <c r="I5" s="17">
        <f>VLOOKUP(A5,[1]plsda_vip!$A$2:$B$30,2,FALSE)</f>
        <v>1.1653</v>
      </c>
      <c r="J5" s="18">
        <f>VLOOKUP(A5,[1]t_test!$A$2:$E$11,5,FALSE)</f>
        <v>3.0585000000000001E-2</v>
      </c>
    </row>
    <row r="6" spans="1:16" ht="16.2" x14ac:dyDescent="0.25">
      <c r="A6" s="11" t="s">
        <v>36</v>
      </c>
      <c r="B6" s="12" t="s">
        <v>73</v>
      </c>
      <c r="C6" s="13">
        <v>10.27</v>
      </c>
      <c r="D6" s="13" t="s">
        <v>74</v>
      </c>
      <c r="E6" s="20">
        <v>100</v>
      </c>
      <c r="F6" s="20">
        <v>26</v>
      </c>
      <c r="G6" s="15">
        <f>VLOOKUP(A6,[1]SERRF_CVQC_DEPURADA!$A$1:$DF$38,110,FALSE)</f>
        <v>2.5731079616915631</v>
      </c>
      <c r="H6" s="16">
        <f>VLOOKUP(A6,[1]fold_change!$A$2:$B$30,2,FALSE)</f>
        <v>0.91768000000000005</v>
      </c>
      <c r="I6" s="17" t="s">
        <v>75</v>
      </c>
      <c r="J6" s="21" t="s">
        <v>76</v>
      </c>
      <c r="L6" s="22"/>
    </row>
    <row r="7" spans="1:16" ht="16.2" x14ac:dyDescent="0.25">
      <c r="A7" s="11" t="s">
        <v>30</v>
      </c>
      <c r="B7" s="12" t="s">
        <v>77</v>
      </c>
      <c r="C7" s="13">
        <v>10.27</v>
      </c>
      <c r="D7" s="13" t="s">
        <v>78</v>
      </c>
      <c r="E7" s="20">
        <v>100</v>
      </c>
      <c r="F7" s="20">
        <v>30</v>
      </c>
      <c r="G7" s="15">
        <f>VLOOKUP(A7,[1]SERRF_CVQC_DEPURADA!$A$1:$DF$38,110,FALSE)</f>
        <v>1.8992992366947552</v>
      </c>
      <c r="H7" s="16">
        <f>VLOOKUP(A7,[1]fold_change!$A$2:$B$30,2,FALSE)</f>
        <v>0.90114000000000005</v>
      </c>
      <c r="I7" s="17" t="s">
        <v>75</v>
      </c>
      <c r="J7" s="21" t="s">
        <v>76</v>
      </c>
      <c r="L7" s="22"/>
    </row>
    <row r="8" spans="1:16" ht="16.2" x14ac:dyDescent="0.25">
      <c r="A8" s="23" t="s">
        <v>32</v>
      </c>
      <c r="B8" s="12" t="s">
        <v>79</v>
      </c>
      <c r="C8" s="13">
        <v>11.137</v>
      </c>
      <c r="D8" s="13" t="s">
        <v>80</v>
      </c>
      <c r="E8" s="20">
        <v>100</v>
      </c>
      <c r="F8" s="20">
        <v>14</v>
      </c>
      <c r="G8" s="15">
        <f>VLOOKUP(A8,[1]SERRF_CVQC_DEPURADA!$A$1:$DF$38,110,FALSE)</f>
        <v>2.0439719402700849</v>
      </c>
      <c r="H8" s="16">
        <f>VLOOKUP(A8,[1]fold_change!$A$2:$B$30,2,FALSE)</f>
        <v>1.1374</v>
      </c>
      <c r="I8" s="17" t="s">
        <v>75</v>
      </c>
      <c r="J8" s="21" t="s">
        <v>76</v>
      </c>
    </row>
    <row r="9" spans="1:16" x14ac:dyDescent="0.25">
      <c r="A9" s="9" t="s">
        <v>81</v>
      </c>
      <c r="B9" s="9"/>
      <c r="C9" s="9"/>
      <c r="D9" s="9"/>
      <c r="E9" s="9"/>
      <c r="F9" s="9"/>
      <c r="G9" s="9"/>
      <c r="H9" s="9"/>
      <c r="I9" s="9"/>
      <c r="J9" s="9"/>
    </row>
    <row r="10" spans="1:16" ht="16.2" x14ac:dyDescent="0.25">
      <c r="A10" s="23" t="s">
        <v>40</v>
      </c>
      <c r="B10" s="24" t="s">
        <v>82</v>
      </c>
      <c r="C10" s="25">
        <v>9.2140000000000004</v>
      </c>
      <c r="D10" s="25" t="s">
        <v>83</v>
      </c>
      <c r="E10" s="26">
        <v>100</v>
      </c>
      <c r="F10" s="26">
        <v>10</v>
      </c>
      <c r="G10" s="15">
        <f>VLOOKUP(A10,[1]SERRF_CVQC_DEPURADA!$A$1:$DF$38,110,FALSE)</f>
        <v>2.83018218930148</v>
      </c>
      <c r="H10" s="16">
        <f>VLOOKUP(A10,[1]fold_change!$A$2:$B$30,2,FALSE)</f>
        <v>0.85011999999999999</v>
      </c>
      <c r="I10" s="16" t="s">
        <v>75</v>
      </c>
      <c r="J10" s="21" t="s">
        <v>76</v>
      </c>
    </row>
    <row r="11" spans="1:16" s="19" customFormat="1" ht="16.2" x14ac:dyDescent="0.25">
      <c r="A11" s="11" t="s">
        <v>35</v>
      </c>
      <c r="B11" s="24" t="s">
        <v>84</v>
      </c>
      <c r="C11" s="25">
        <v>7.14</v>
      </c>
      <c r="D11" s="25" t="s">
        <v>85</v>
      </c>
      <c r="E11" s="19">
        <v>100</v>
      </c>
      <c r="F11" s="19">
        <v>10</v>
      </c>
      <c r="G11" s="15">
        <f>VLOOKUP(A11,[1]SERRF_CVQC_DEPURADA!$A$1:$DF$38,110,FALSE)</f>
        <v>2.4410749623595391</v>
      </c>
      <c r="H11" s="16">
        <f>VLOOKUP(A11,[1]fold_change!$A$2:$B$30,2,FALSE)</f>
        <v>1.5322</v>
      </c>
      <c r="I11" s="16" t="s">
        <v>75</v>
      </c>
      <c r="J11" s="21" t="s">
        <v>76</v>
      </c>
      <c r="N11" s="11"/>
      <c r="O11" s="11"/>
      <c r="P11" s="11"/>
    </row>
    <row r="12" spans="1:16" s="19" customFormat="1" ht="16.2" x14ac:dyDescent="0.25">
      <c r="A12" s="11" t="s">
        <v>47</v>
      </c>
      <c r="B12" s="24" t="s">
        <v>86</v>
      </c>
      <c r="C12" s="25">
        <v>6.8319999999999999</v>
      </c>
      <c r="D12" s="25" t="s">
        <v>87</v>
      </c>
      <c r="E12" s="19">
        <v>100</v>
      </c>
      <c r="F12" s="19">
        <v>20</v>
      </c>
      <c r="G12" s="15">
        <f>VLOOKUP(A12,[1]SERRF_CVQC_DEPURADA!$A$1:$DF$38,110,FALSE)</f>
        <v>4.5169072888102786</v>
      </c>
      <c r="H12" s="16">
        <f>VLOOKUP(A12,[1]fold_change!$A$2:$B$30,2,FALSE)</f>
        <v>3.0918999999999999</v>
      </c>
      <c r="I12" s="16">
        <f>VLOOKUP(A12,[1]plsda_vip!$A$2:$B$30,2,FALSE)</f>
        <v>2.2359</v>
      </c>
      <c r="J12" s="18">
        <f>VLOOKUP(A12,[1]t_test!$A$2:$E$11,5,FALSE)</f>
        <v>1.1723E-6</v>
      </c>
      <c r="N12" s="11"/>
      <c r="O12" s="11"/>
      <c r="P12" s="11"/>
    </row>
    <row r="13" spans="1:16" s="19" customFormat="1" ht="16.2" x14ac:dyDescent="0.25">
      <c r="A13" s="11" t="s">
        <v>38</v>
      </c>
      <c r="B13" s="24" t="s">
        <v>88</v>
      </c>
      <c r="C13" s="25">
        <v>8.5860000000000003</v>
      </c>
      <c r="D13" s="25" t="s">
        <v>89</v>
      </c>
      <c r="E13" s="19">
        <v>100</v>
      </c>
      <c r="F13" s="19">
        <v>20</v>
      </c>
      <c r="G13" s="15">
        <f>VLOOKUP(A13,[1]SERRF_CVQC_DEPURADA!$A$1:$DF$38,110,FALSE)</f>
        <v>2.7166607598968828</v>
      </c>
      <c r="H13" s="16">
        <f>VLOOKUP(A13,[1]fold_change!$A$2:$B$30,2,FALSE)</f>
        <v>2.7275</v>
      </c>
      <c r="I13" s="16">
        <f>VLOOKUP(A13,[1]plsda_vip!$A$2:$B$30,2,FALSE)</f>
        <v>2.0908000000000002</v>
      </c>
      <c r="J13" s="18">
        <f>VLOOKUP(A13,[1]t_test!$A$2:$E$11,5,FALSE)</f>
        <v>6.9005999999999996E-6</v>
      </c>
      <c r="N13" s="11"/>
      <c r="O13" s="11"/>
      <c r="P13" s="11"/>
    </row>
    <row r="14" spans="1:16" s="19" customFormat="1" ht="16.2" x14ac:dyDescent="0.25">
      <c r="A14" s="11" t="s">
        <v>31</v>
      </c>
      <c r="B14" s="24" t="s">
        <v>90</v>
      </c>
      <c r="C14" s="25">
        <v>6.14</v>
      </c>
      <c r="D14" s="25" t="s">
        <v>91</v>
      </c>
      <c r="E14" s="19">
        <v>100</v>
      </c>
      <c r="F14" s="19">
        <v>10</v>
      </c>
      <c r="G14" s="15">
        <f>VLOOKUP(A14,[1]SERRF_CVQC_DEPURADA!$A$1:$DF$38,110,FALSE)</f>
        <v>1.9484753807176611</v>
      </c>
      <c r="H14" s="16">
        <f>VLOOKUP(A14,[1]fold_change!$A$2:$B$30,2,FALSE)</f>
        <v>1.0644</v>
      </c>
      <c r="I14" s="16" t="s">
        <v>75</v>
      </c>
      <c r="J14" s="21" t="s">
        <v>76</v>
      </c>
      <c r="N14" s="11"/>
      <c r="O14" s="11"/>
      <c r="P14" s="11"/>
    </row>
    <row r="15" spans="1:16" s="19" customFormat="1" ht="16.2" x14ac:dyDescent="0.25">
      <c r="A15" s="27" t="s">
        <v>34</v>
      </c>
      <c r="B15" s="24" t="s">
        <v>92</v>
      </c>
      <c r="C15" s="25">
        <v>4.7089999999999996</v>
      </c>
      <c r="D15" s="25" t="s">
        <v>93</v>
      </c>
      <c r="E15" s="19">
        <v>100</v>
      </c>
      <c r="F15" s="19">
        <v>10</v>
      </c>
      <c r="G15" s="15">
        <f>VLOOKUP(A15,[1]SERRF_CVQC_DEPURADA!$A$1:$DF$38,110,FALSE)</f>
        <v>2.1179866054645013</v>
      </c>
      <c r="H15" s="16">
        <f>VLOOKUP(A15,[1]fold_change!$A$2:$B$30,2,FALSE)</f>
        <v>0.59816000000000003</v>
      </c>
      <c r="I15" s="16">
        <f>VLOOKUP(A15,[1]plsda_vip!$A$2:$B$30,2,FALSE)</f>
        <v>1.0478000000000001</v>
      </c>
      <c r="J15" s="21" t="s">
        <v>76</v>
      </c>
      <c r="N15" s="11"/>
      <c r="O15" s="11"/>
      <c r="P15" s="11"/>
    </row>
    <row r="16" spans="1:16" s="19" customFormat="1" ht="44.55" customHeight="1" x14ac:dyDescent="0.25">
      <c r="A16" s="28" t="s">
        <v>94</v>
      </c>
      <c r="B16" s="28"/>
      <c r="C16" s="28"/>
      <c r="D16" s="28"/>
      <c r="E16" s="28"/>
      <c r="F16" s="28"/>
      <c r="G16" s="28"/>
      <c r="H16" s="28"/>
      <c r="I16" s="28"/>
      <c r="J16" s="28"/>
      <c r="N16" s="11"/>
      <c r="O16" s="11"/>
      <c r="P16" s="11"/>
    </row>
  </sheetData>
  <mergeCells count="4">
    <mergeCell ref="H1:J1"/>
    <mergeCell ref="A3:J3"/>
    <mergeCell ref="A9:J9"/>
    <mergeCell ref="A16:J16"/>
  </mergeCells>
  <conditionalFormatting sqref="A2">
    <cfRule type="duplicateValues" dxfId="16" priority="7"/>
  </conditionalFormatting>
  <conditionalFormatting sqref="A16">
    <cfRule type="duplicateValues" dxfId="15" priority="4"/>
  </conditionalFormatting>
  <conditionalFormatting sqref="A17:A62">
    <cfRule type="duplicateValues" dxfId="14" priority="1"/>
  </conditionalFormatting>
  <conditionalFormatting sqref="A3:B3">
    <cfRule type="duplicateValues" dxfId="13" priority="8"/>
  </conditionalFormatting>
  <conditionalFormatting sqref="A9:B9">
    <cfRule type="duplicateValues" dxfId="12" priority="6"/>
  </conditionalFormatting>
  <conditionalFormatting sqref="H1 J2">
    <cfRule type="cellIs" dxfId="11" priority="5" operator="between">
      <formula>0</formula>
      <formula>0.999</formula>
    </cfRule>
  </conditionalFormatting>
  <conditionalFormatting sqref="H4:H8 H10:H15">
    <cfRule type="cellIs" dxfId="10" priority="2" operator="between">
      <formula>0</formula>
      <formula>0.999</formula>
    </cfRule>
    <cfRule type="cellIs" dxfId="9" priority="3" operator="greaterThan">
      <formula>1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383A-E2DC-4551-9135-2ACB60E01529}">
  <dimension ref="A1:CW33"/>
  <sheetViews>
    <sheetView workbookViewId="0">
      <selection sqref="A1:A1048576"/>
    </sheetView>
  </sheetViews>
  <sheetFormatPr baseColWidth="10" defaultRowHeight="14.4" x14ac:dyDescent="0.3"/>
  <sheetData>
    <row r="1" spans="1:101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5</v>
      </c>
      <c r="W1" t="s">
        <v>5</v>
      </c>
      <c r="X1" t="s">
        <v>5</v>
      </c>
      <c r="Y1" t="s">
        <v>5</v>
      </c>
      <c r="Z1" t="s">
        <v>5</v>
      </c>
      <c r="AA1" t="s">
        <v>6</v>
      </c>
      <c r="AB1" t="s">
        <v>6</v>
      </c>
      <c r="AC1" t="s">
        <v>6</v>
      </c>
      <c r="AD1" t="s">
        <v>6</v>
      </c>
      <c r="AE1" t="s">
        <v>6</v>
      </c>
      <c r="AF1" t="s">
        <v>7</v>
      </c>
      <c r="AG1" t="s">
        <v>7</v>
      </c>
      <c r="AH1" t="s">
        <v>7</v>
      </c>
      <c r="AI1" t="s">
        <v>7</v>
      </c>
      <c r="AJ1" t="s">
        <v>7</v>
      </c>
      <c r="AK1" t="s">
        <v>8</v>
      </c>
      <c r="AL1" t="s">
        <v>8</v>
      </c>
      <c r="AM1" t="s">
        <v>8</v>
      </c>
      <c r="AN1" t="s">
        <v>8</v>
      </c>
      <c r="AO1" t="s">
        <v>8</v>
      </c>
      <c r="AP1" t="s">
        <v>9</v>
      </c>
      <c r="AQ1" t="s">
        <v>9</v>
      </c>
      <c r="AR1" t="s">
        <v>9</v>
      </c>
      <c r="AS1" t="s">
        <v>9</v>
      </c>
      <c r="AT1" t="s">
        <v>9</v>
      </c>
      <c r="AU1" t="s">
        <v>10</v>
      </c>
      <c r="AV1" t="s">
        <v>10</v>
      </c>
      <c r="AW1" t="s">
        <v>10</v>
      </c>
      <c r="AX1" t="s">
        <v>10</v>
      </c>
      <c r="AY1" t="s">
        <v>10</v>
      </c>
      <c r="AZ1" t="s">
        <v>11</v>
      </c>
      <c r="BA1" t="s">
        <v>11</v>
      </c>
      <c r="BB1" t="s">
        <v>11</v>
      </c>
      <c r="BC1" t="s">
        <v>11</v>
      </c>
      <c r="BD1" t="s">
        <v>11</v>
      </c>
      <c r="BE1" t="s">
        <v>2</v>
      </c>
      <c r="BF1" t="s">
        <v>12</v>
      </c>
      <c r="BG1" t="s">
        <v>12</v>
      </c>
      <c r="BH1" t="s">
        <v>12</v>
      </c>
      <c r="BI1" t="s">
        <v>12</v>
      </c>
      <c r="BJ1" t="s">
        <v>13</v>
      </c>
      <c r="BK1" t="s">
        <v>13</v>
      </c>
      <c r="BL1" t="s">
        <v>13</v>
      </c>
      <c r="BM1" t="s">
        <v>13</v>
      </c>
      <c r="BN1" t="s">
        <v>13</v>
      </c>
      <c r="BO1" t="s">
        <v>14</v>
      </c>
      <c r="BP1" t="s">
        <v>14</v>
      </c>
      <c r="BQ1" t="s">
        <v>14</v>
      </c>
      <c r="BR1" t="s">
        <v>14</v>
      </c>
      <c r="BS1" t="s">
        <v>14</v>
      </c>
      <c r="BT1" t="s">
        <v>15</v>
      </c>
      <c r="BU1" t="s">
        <v>15</v>
      </c>
      <c r="BV1" t="s">
        <v>15</v>
      </c>
      <c r="BW1" t="s">
        <v>15</v>
      </c>
      <c r="BX1" t="s">
        <v>15</v>
      </c>
      <c r="BY1" t="s">
        <v>16</v>
      </c>
      <c r="BZ1" t="s">
        <v>16</v>
      </c>
      <c r="CA1" t="s">
        <v>16</v>
      </c>
      <c r="CB1" t="s">
        <v>16</v>
      </c>
      <c r="CC1" t="s">
        <v>16</v>
      </c>
      <c r="CD1" t="s">
        <v>17</v>
      </c>
      <c r="CE1" t="s">
        <v>17</v>
      </c>
      <c r="CF1" t="s">
        <v>17</v>
      </c>
      <c r="CG1" t="s">
        <v>17</v>
      </c>
      <c r="CH1" t="s">
        <v>17</v>
      </c>
      <c r="CI1" t="s">
        <v>18</v>
      </c>
      <c r="CJ1" t="s">
        <v>18</v>
      </c>
      <c r="CK1" t="s">
        <v>18</v>
      </c>
      <c r="CL1" t="s">
        <v>18</v>
      </c>
      <c r="CM1" t="s">
        <v>18</v>
      </c>
      <c r="CN1" t="s">
        <v>19</v>
      </c>
      <c r="CO1" t="s">
        <v>19</v>
      </c>
      <c r="CP1" t="s">
        <v>19</v>
      </c>
      <c r="CQ1" t="s">
        <v>19</v>
      </c>
      <c r="CR1" t="s">
        <v>19</v>
      </c>
      <c r="CS1" t="s">
        <v>20</v>
      </c>
      <c r="CT1" t="s">
        <v>20</v>
      </c>
      <c r="CU1" t="s">
        <v>20</v>
      </c>
      <c r="CV1" t="s">
        <v>20</v>
      </c>
      <c r="CW1" t="s">
        <v>20</v>
      </c>
    </row>
    <row r="2" spans="1:101" x14ac:dyDescent="0.3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  <c r="AR2" t="s">
        <v>23</v>
      </c>
      <c r="AS2" t="s">
        <v>23</v>
      </c>
      <c r="AT2" t="s">
        <v>23</v>
      </c>
      <c r="AU2" t="s">
        <v>23</v>
      </c>
      <c r="AV2" t="s">
        <v>23</v>
      </c>
      <c r="AW2" t="s">
        <v>23</v>
      </c>
      <c r="AX2" t="s">
        <v>23</v>
      </c>
      <c r="AY2" t="s">
        <v>23</v>
      </c>
      <c r="AZ2" t="s">
        <v>24</v>
      </c>
      <c r="BA2" t="s">
        <v>24</v>
      </c>
      <c r="BB2" t="s">
        <v>24</v>
      </c>
      <c r="BC2" t="s">
        <v>24</v>
      </c>
      <c r="BD2" t="s">
        <v>24</v>
      </c>
      <c r="BE2" t="s">
        <v>24</v>
      </c>
      <c r="BF2" t="s">
        <v>24</v>
      </c>
      <c r="BG2" t="s">
        <v>24</v>
      </c>
      <c r="BH2" t="s">
        <v>24</v>
      </c>
      <c r="BI2" t="s">
        <v>24</v>
      </c>
      <c r="BJ2" t="s">
        <v>24</v>
      </c>
      <c r="BK2" t="s">
        <v>24</v>
      </c>
      <c r="BL2" t="s">
        <v>24</v>
      </c>
      <c r="BM2" t="s">
        <v>24</v>
      </c>
      <c r="BN2" t="s">
        <v>24</v>
      </c>
      <c r="BO2" t="s">
        <v>24</v>
      </c>
      <c r="BP2" t="s">
        <v>24</v>
      </c>
      <c r="BQ2" t="s">
        <v>24</v>
      </c>
      <c r="BR2" t="s">
        <v>24</v>
      </c>
      <c r="BS2" t="s">
        <v>24</v>
      </c>
      <c r="BT2" t="s">
        <v>24</v>
      </c>
      <c r="BU2" t="s">
        <v>24</v>
      </c>
      <c r="BV2" t="s">
        <v>24</v>
      </c>
      <c r="BW2" t="s">
        <v>24</v>
      </c>
      <c r="BX2" t="s">
        <v>24</v>
      </c>
      <c r="BY2" t="s">
        <v>24</v>
      </c>
      <c r="BZ2" t="s">
        <v>24</v>
      </c>
      <c r="CA2" t="s">
        <v>24</v>
      </c>
      <c r="CB2" t="s">
        <v>24</v>
      </c>
      <c r="CC2" t="s">
        <v>24</v>
      </c>
      <c r="CD2" t="s">
        <v>25</v>
      </c>
      <c r="CE2" t="s">
        <v>25</v>
      </c>
      <c r="CF2" t="s">
        <v>25</v>
      </c>
      <c r="CG2" t="s">
        <v>25</v>
      </c>
      <c r="CH2" t="s">
        <v>25</v>
      </c>
      <c r="CI2" t="s">
        <v>25</v>
      </c>
      <c r="CJ2" t="s">
        <v>25</v>
      </c>
      <c r="CK2" t="s">
        <v>25</v>
      </c>
      <c r="CL2" t="s">
        <v>25</v>
      </c>
      <c r="CM2" t="s">
        <v>25</v>
      </c>
      <c r="CN2" t="s">
        <v>25</v>
      </c>
      <c r="CO2" t="s">
        <v>25</v>
      </c>
      <c r="CP2" t="s">
        <v>25</v>
      </c>
      <c r="CQ2" t="s">
        <v>25</v>
      </c>
      <c r="CR2" t="s">
        <v>25</v>
      </c>
      <c r="CS2" t="s">
        <v>25</v>
      </c>
      <c r="CT2" t="s">
        <v>25</v>
      </c>
      <c r="CU2" t="s">
        <v>25</v>
      </c>
      <c r="CV2" t="s">
        <v>25</v>
      </c>
      <c r="CW2" t="s">
        <v>25</v>
      </c>
    </row>
    <row r="3" spans="1:101" x14ac:dyDescent="0.3">
      <c r="A3" t="s">
        <v>26</v>
      </c>
      <c r="B3">
        <v>7.9890050000000004E-3</v>
      </c>
      <c r="C3">
        <v>3.0922317000000001E-2</v>
      </c>
      <c r="D3">
        <v>1.1246007000000001E-2</v>
      </c>
      <c r="E3">
        <v>1.3444731E-2</v>
      </c>
      <c r="F3">
        <v>1.0848589E-2</v>
      </c>
      <c r="G3">
        <v>1.6024657000000001E-2</v>
      </c>
      <c r="H3">
        <v>1.7871134E-2</v>
      </c>
      <c r="I3">
        <v>1.8278573999999999E-2</v>
      </c>
      <c r="J3">
        <v>3.4120414000000002E-2</v>
      </c>
      <c r="K3">
        <v>5.4245335999999998E-2</v>
      </c>
      <c r="L3">
        <v>6.1348289999999996E-3</v>
      </c>
      <c r="M3">
        <v>1.9494109999999999E-2</v>
      </c>
      <c r="N3">
        <v>3.2338845999999997E-2</v>
      </c>
      <c r="O3">
        <v>1.0254399000000001E-2</v>
      </c>
      <c r="P3">
        <v>1.3317348999999999E-2</v>
      </c>
      <c r="Q3">
        <v>4.7367332999999998E-2</v>
      </c>
      <c r="R3">
        <v>3.2508356000000002E-2</v>
      </c>
      <c r="S3">
        <v>6.6699346000000007E-2</v>
      </c>
      <c r="T3">
        <v>9.0009152999999995E-2</v>
      </c>
      <c r="U3">
        <v>9.1109145000000002E-2</v>
      </c>
      <c r="V3">
        <v>1.4197114E-2</v>
      </c>
      <c r="W3">
        <v>1.8332187999999999E-2</v>
      </c>
      <c r="X3">
        <v>0.16750035399999999</v>
      </c>
      <c r="Y3">
        <v>6.5414131E-2</v>
      </c>
      <c r="Z3">
        <v>0.16354728800000001</v>
      </c>
      <c r="AA3">
        <v>1.1494763999999999E-2</v>
      </c>
      <c r="AB3">
        <v>9.3540610000000003E-3</v>
      </c>
      <c r="AC3">
        <v>1.3028721E-2</v>
      </c>
      <c r="AD3">
        <v>2.7084621999999999E-2</v>
      </c>
      <c r="AE3">
        <v>0.12697276499999999</v>
      </c>
      <c r="AF3">
        <v>0.60944855399999998</v>
      </c>
      <c r="AG3">
        <v>0.57224787200000005</v>
      </c>
      <c r="AH3">
        <v>0.73423233200000004</v>
      </c>
      <c r="AI3">
        <v>0.70364778400000005</v>
      </c>
      <c r="AJ3">
        <v>0.71845055899999999</v>
      </c>
      <c r="AK3">
        <v>0.40981619400000002</v>
      </c>
      <c r="AL3">
        <v>0.18896632299999999</v>
      </c>
      <c r="AM3">
        <v>0.40300339000000002</v>
      </c>
      <c r="AN3">
        <v>0.46679410399999999</v>
      </c>
      <c r="AO3">
        <v>0.48071756999999998</v>
      </c>
      <c r="AP3">
        <v>0.71326330400000004</v>
      </c>
      <c r="AQ3">
        <v>0.69435983300000004</v>
      </c>
      <c r="AR3">
        <v>0.71460559199999996</v>
      </c>
      <c r="AS3">
        <v>0.71818692100000003</v>
      </c>
      <c r="AT3">
        <v>0.66094477900000004</v>
      </c>
      <c r="AU3">
        <v>0.67986692100000001</v>
      </c>
      <c r="AV3">
        <v>0.66008619300000004</v>
      </c>
      <c r="AW3">
        <v>0.612304654</v>
      </c>
      <c r="AX3">
        <v>0.72792302900000005</v>
      </c>
      <c r="AY3">
        <v>0.74180552600000005</v>
      </c>
      <c r="AZ3">
        <v>4.2315699999999996E-3</v>
      </c>
      <c r="BA3">
        <v>9.2787809999999998E-3</v>
      </c>
      <c r="BB3">
        <v>7.9123809999999996E-3</v>
      </c>
      <c r="BC3">
        <v>1.3504464000000001E-2</v>
      </c>
      <c r="BD3">
        <v>9.0470680000000001E-3</v>
      </c>
      <c r="BE3">
        <v>5.3513603E-2</v>
      </c>
      <c r="BF3">
        <v>5.7917127999999998E-2</v>
      </c>
      <c r="BG3">
        <v>2.5773569999999999E-2</v>
      </c>
      <c r="BH3">
        <v>1.4516533E-2</v>
      </c>
      <c r="BI3">
        <v>8.5673346999999997E-2</v>
      </c>
      <c r="BJ3">
        <v>5.9251454000000002E-2</v>
      </c>
      <c r="BK3">
        <v>3.3263389999999997E-2</v>
      </c>
      <c r="BL3">
        <v>1.6258668E-2</v>
      </c>
      <c r="BM3">
        <v>4.6707102E-2</v>
      </c>
      <c r="BN3">
        <v>2.4162745999999999E-2</v>
      </c>
      <c r="BO3">
        <v>2.8833629999999999E-2</v>
      </c>
      <c r="BP3">
        <v>6.2513294999999997E-2</v>
      </c>
      <c r="BQ3">
        <v>5.8089575999999997E-2</v>
      </c>
      <c r="BR3">
        <v>5.6019342999999999E-2</v>
      </c>
      <c r="BS3">
        <v>6.1904033999999997E-2</v>
      </c>
      <c r="BT3">
        <v>2.3076014999999998E-2</v>
      </c>
      <c r="BU3">
        <v>7.8650036000000006E-2</v>
      </c>
      <c r="BV3">
        <v>2.6791265000000002E-2</v>
      </c>
      <c r="BW3">
        <v>2.7529530999999999E-2</v>
      </c>
      <c r="BX3">
        <v>4.4153268000000002E-2</v>
      </c>
      <c r="BY3">
        <v>8.4291079999999994E-3</v>
      </c>
      <c r="BZ3">
        <v>5.4341720000000001E-3</v>
      </c>
      <c r="CA3">
        <v>6.1122260000000001E-3</v>
      </c>
      <c r="CB3">
        <v>2.3980573000000002E-2</v>
      </c>
      <c r="CC3">
        <v>5.0307670000000002E-3</v>
      </c>
      <c r="CD3">
        <v>0.51404944100000005</v>
      </c>
      <c r="CE3">
        <v>0.37739197800000002</v>
      </c>
      <c r="CF3">
        <v>0.61108424800000005</v>
      </c>
      <c r="CG3">
        <v>0.482426095</v>
      </c>
      <c r="CH3">
        <v>0.69209976100000004</v>
      </c>
      <c r="CI3">
        <v>0.43231219999999998</v>
      </c>
      <c r="CJ3">
        <v>0.42908401699999998</v>
      </c>
      <c r="CK3">
        <v>0.40748687099999997</v>
      </c>
      <c r="CL3">
        <v>0.43467783500000001</v>
      </c>
      <c r="CM3">
        <v>0.43453967399999999</v>
      </c>
      <c r="CN3">
        <v>0.61741667499999997</v>
      </c>
      <c r="CO3">
        <v>0.67243909000000002</v>
      </c>
      <c r="CP3">
        <v>0.63583118500000002</v>
      </c>
      <c r="CQ3">
        <v>0.64555538899999998</v>
      </c>
      <c r="CR3">
        <v>0.68676065100000006</v>
      </c>
      <c r="CS3">
        <v>0.630710365</v>
      </c>
      <c r="CT3">
        <v>0.62857609599999997</v>
      </c>
      <c r="CU3">
        <v>0.61773926499999998</v>
      </c>
      <c r="CV3">
        <v>0.59751536900000002</v>
      </c>
      <c r="CW3">
        <v>0.67100204200000002</v>
      </c>
    </row>
    <row r="4" spans="1:101" x14ac:dyDescent="0.3">
      <c r="A4" t="s">
        <v>27</v>
      </c>
      <c r="B4">
        <v>5.8286199999999996E-3</v>
      </c>
      <c r="C4">
        <v>5.4402469999999996E-3</v>
      </c>
      <c r="D4">
        <v>4.3660920000000002E-3</v>
      </c>
      <c r="E4">
        <v>5.7518589999999998E-3</v>
      </c>
      <c r="F4">
        <v>5.6295980000000004E-3</v>
      </c>
      <c r="G4">
        <v>1.9741602E-2</v>
      </c>
      <c r="H4">
        <v>1.8027593000000001E-2</v>
      </c>
      <c r="I4">
        <v>1.3230072000000001E-2</v>
      </c>
      <c r="J4">
        <v>1.4629562E-2</v>
      </c>
      <c r="K4">
        <v>1.3626498000000001E-2</v>
      </c>
      <c r="L4">
        <v>7.3439719999999998E-3</v>
      </c>
      <c r="M4">
        <v>4.6265569999999999E-3</v>
      </c>
      <c r="N4">
        <v>9.7723719999999997E-3</v>
      </c>
      <c r="O4">
        <v>4.3289289999999996E-3</v>
      </c>
      <c r="P4">
        <v>3.5093749999999999E-3</v>
      </c>
      <c r="Q4">
        <v>2.3705529999999999E-2</v>
      </c>
      <c r="R4">
        <v>6.5182809999999999E-3</v>
      </c>
      <c r="S4">
        <v>1.1192847000000001E-2</v>
      </c>
      <c r="T4">
        <v>7.3094079999999999E-3</v>
      </c>
      <c r="U4">
        <v>1.9679174000000001E-2</v>
      </c>
      <c r="V4">
        <v>5.8848620000000003E-3</v>
      </c>
      <c r="W4">
        <v>8.8358320000000001E-3</v>
      </c>
      <c r="X4">
        <v>4.1049570000000002E-3</v>
      </c>
      <c r="Y4">
        <v>2.4405479999999998E-3</v>
      </c>
      <c r="Z4">
        <v>4.1963590000000002E-3</v>
      </c>
      <c r="AA4">
        <v>2.5200550000000002E-3</v>
      </c>
      <c r="AB4">
        <v>1.53611E-3</v>
      </c>
      <c r="AC4">
        <v>2.752525E-3</v>
      </c>
      <c r="AD4">
        <v>3.1525920000000001E-3</v>
      </c>
      <c r="AE4">
        <v>2.5932659999999999E-3</v>
      </c>
      <c r="AF4">
        <v>6.9613400000000005E-4</v>
      </c>
      <c r="AG4">
        <v>3.9958000000000002E-4</v>
      </c>
      <c r="AH4">
        <v>4.4110200000000002E-4</v>
      </c>
      <c r="AI4">
        <v>3.13357E-4</v>
      </c>
      <c r="AJ4">
        <v>2.5491100000000003E-4</v>
      </c>
      <c r="AK4">
        <v>8.4820200000000005E-4</v>
      </c>
      <c r="AL4">
        <v>2.0032700000000001E-3</v>
      </c>
      <c r="AM4">
        <v>7.0923199999999996E-4</v>
      </c>
      <c r="AN4">
        <v>4.63917E-4</v>
      </c>
      <c r="AO4">
        <v>4.4557499999999997E-4</v>
      </c>
      <c r="AP4">
        <v>2.24131E-4</v>
      </c>
      <c r="AQ4">
        <v>2.1129499999999999E-4</v>
      </c>
      <c r="AR4">
        <v>1.1617599999999999E-4</v>
      </c>
      <c r="AS4">
        <v>1.48333E-4</v>
      </c>
      <c r="AT4">
        <v>3.3629599999999998E-4</v>
      </c>
      <c r="AU4">
        <v>1.2991000000000001E-4</v>
      </c>
      <c r="AV4">
        <v>1.55103E-4</v>
      </c>
      <c r="AW4">
        <v>1.56949E-4</v>
      </c>
      <c r="AX4">
        <v>2.0084899999999999E-4</v>
      </c>
      <c r="AY4">
        <v>1.5421099999999999E-4</v>
      </c>
      <c r="AZ4">
        <v>1.7458020000000001E-3</v>
      </c>
      <c r="BA4">
        <v>1.4608519999999999E-3</v>
      </c>
      <c r="BB4">
        <v>1.328346E-3</v>
      </c>
      <c r="BC4">
        <v>1.3527229999999999E-3</v>
      </c>
      <c r="BD4">
        <v>2.6221320000000001E-3</v>
      </c>
      <c r="BE4">
        <v>9.8303139999999997E-3</v>
      </c>
      <c r="BF4">
        <v>1.1894996E-2</v>
      </c>
      <c r="BG4">
        <v>9.8814720000000005E-3</v>
      </c>
      <c r="BH4">
        <v>1.817031E-3</v>
      </c>
      <c r="BI4">
        <v>7.8137320000000003E-3</v>
      </c>
      <c r="BJ4">
        <v>8.6766169999999993E-3</v>
      </c>
      <c r="BK4">
        <v>3.3231210000000001E-3</v>
      </c>
      <c r="BL4">
        <v>1.8375080000000001E-3</v>
      </c>
      <c r="BM4">
        <v>8.7921500000000003E-3</v>
      </c>
      <c r="BN4">
        <v>2.1626750000000002E-3</v>
      </c>
      <c r="BO4">
        <v>4.0200130000000002E-3</v>
      </c>
      <c r="BP4">
        <v>3.07698E-3</v>
      </c>
      <c r="BQ4">
        <v>5.5060660000000004E-3</v>
      </c>
      <c r="BR4">
        <v>3.767233E-3</v>
      </c>
      <c r="BS4">
        <v>7.6762389999999996E-3</v>
      </c>
      <c r="BT4">
        <v>2.1084889999999998E-3</v>
      </c>
      <c r="BU4">
        <v>1.4828560000000001E-3</v>
      </c>
      <c r="BV4">
        <v>8.4653260000000004E-3</v>
      </c>
      <c r="BW4">
        <v>1.886422E-3</v>
      </c>
      <c r="BX4">
        <v>4.8653159999999997E-3</v>
      </c>
      <c r="BY4">
        <v>1.731759E-3</v>
      </c>
      <c r="BZ4">
        <v>1.504221E-3</v>
      </c>
      <c r="CA4">
        <v>1.391717E-3</v>
      </c>
      <c r="CB4">
        <v>2.8789940000000002E-3</v>
      </c>
      <c r="CC4">
        <v>1.6466709999999999E-3</v>
      </c>
      <c r="CD4">
        <v>9.4443999999999995E-4</v>
      </c>
      <c r="CE4">
        <v>1.549941E-3</v>
      </c>
      <c r="CF4">
        <v>3.9926600000000001E-4</v>
      </c>
      <c r="CG4">
        <v>6.3798399999999997E-4</v>
      </c>
      <c r="CH4">
        <v>2.6237800000000001E-4</v>
      </c>
      <c r="CI4">
        <v>1.4665920000000001E-3</v>
      </c>
      <c r="CJ4">
        <v>1.5438299999999999E-3</v>
      </c>
      <c r="CK4">
        <v>1.5690260000000001E-3</v>
      </c>
      <c r="CL4">
        <v>1.388699E-3</v>
      </c>
      <c r="CM4">
        <v>1.5430210000000001E-3</v>
      </c>
      <c r="CN4">
        <v>5.1575199999999996E-4</v>
      </c>
      <c r="CO4">
        <v>3.50644E-4</v>
      </c>
      <c r="CP4">
        <v>4.0442800000000002E-4</v>
      </c>
      <c r="CQ4">
        <v>2.9987600000000003E-4</v>
      </c>
      <c r="CR4">
        <v>4.80378E-4</v>
      </c>
      <c r="CS4">
        <v>4.0077E-4</v>
      </c>
      <c r="CT4">
        <v>4.3848699999999999E-4</v>
      </c>
      <c r="CU4">
        <v>5.8666999999999996E-4</v>
      </c>
      <c r="CV4">
        <v>6.2509900000000005E-4</v>
      </c>
      <c r="CW4">
        <v>5.2936900000000002E-4</v>
      </c>
    </row>
    <row r="5" spans="1:101" x14ac:dyDescent="0.3">
      <c r="A5" t="s">
        <v>28</v>
      </c>
      <c r="B5">
        <v>7.4654403999999994E-2</v>
      </c>
      <c r="C5">
        <v>7.5022676999999996E-2</v>
      </c>
      <c r="D5">
        <v>5.7110821999999999E-2</v>
      </c>
      <c r="E5">
        <v>7.9818984999999995E-2</v>
      </c>
      <c r="F5">
        <v>8.1702934000000005E-2</v>
      </c>
      <c r="G5">
        <v>7.2909484999999996E-2</v>
      </c>
      <c r="H5">
        <v>3.3004682E-2</v>
      </c>
      <c r="I5">
        <v>8.4281216000000006E-2</v>
      </c>
      <c r="J5">
        <v>1.6439263999999999E-2</v>
      </c>
      <c r="K5">
        <v>1.5741944000000001E-2</v>
      </c>
      <c r="L5">
        <v>8.3414579999999995E-3</v>
      </c>
      <c r="M5">
        <v>9.0459389999999994E-3</v>
      </c>
      <c r="N5">
        <v>3.9884372000000001E-2</v>
      </c>
      <c r="O5">
        <v>2.0781117000000002E-2</v>
      </c>
      <c r="P5">
        <v>1.1780921999999999E-2</v>
      </c>
      <c r="Q5">
        <v>0.156277579</v>
      </c>
      <c r="R5">
        <v>2.0005467999999998E-2</v>
      </c>
      <c r="S5">
        <v>5.5251565000000002E-2</v>
      </c>
      <c r="T5">
        <v>6.9531127999999998E-2</v>
      </c>
      <c r="U5">
        <v>0.106118136</v>
      </c>
      <c r="V5">
        <v>4.7513723000000001E-2</v>
      </c>
      <c r="W5">
        <v>5.2026390999999998E-2</v>
      </c>
      <c r="X5">
        <v>1.0758449E-2</v>
      </c>
      <c r="Y5">
        <v>1.9242213000000001E-2</v>
      </c>
      <c r="Z5">
        <v>9.9013899999999995E-3</v>
      </c>
      <c r="AA5">
        <v>3.5699416999999997E-2</v>
      </c>
      <c r="AB5">
        <v>1.6722074E-2</v>
      </c>
      <c r="AC5">
        <v>3.1538081000000003E-2</v>
      </c>
      <c r="AD5">
        <v>3.6448299000000003E-2</v>
      </c>
      <c r="AE5">
        <v>4.0385738999999997E-2</v>
      </c>
      <c r="AF5">
        <v>4.6789391999999999E-2</v>
      </c>
      <c r="AG5">
        <v>1.3964420999999999E-2</v>
      </c>
      <c r="AH5">
        <v>9.6467289999999997E-3</v>
      </c>
      <c r="AI5">
        <v>1.3800543E-2</v>
      </c>
      <c r="AJ5">
        <v>1.31296E-2</v>
      </c>
      <c r="AK5">
        <v>2.7749780000000002E-2</v>
      </c>
      <c r="AL5">
        <v>5.3929247999999999E-2</v>
      </c>
      <c r="AM5">
        <v>2.5258991000000001E-2</v>
      </c>
      <c r="AN5">
        <v>7.4052679999999996E-3</v>
      </c>
      <c r="AO5">
        <v>1.4154874E-2</v>
      </c>
      <c r="AP5">
        <v>6.7300659999999998E-3</v>
      </c>
      <c r="AQ5">
        <v>5.2097369999999999E-3</v>
      </c>
      <c r="AR5">
        <v>6.3115419999999998E-3</v>
      </c>
      <c r="AS5">
        <v>5.7968689999999996E-3</v>
      </c>
      <c r="AT5">
        <v>1.6929692E-2</v>
      </c>
      <c r="AU5">
        <v>7.4304849999999997E-3</v>
      </c>
      <c r="AV5">
        <v>8.8195349999999999E-3</v>
      </c>
      <c r="AW5">
        <v>9.7994039999999994E-3</v>
      </c>
      <c r="AX5">
        <v>5.5913990000000004E-3</v>
      </c>
      <c r="AY5">
        <v>5.016932E-3</v>
      </c>
      <c r="AZ5">
        <v>4.8083869999999999E-3</v>
      </c>
      <c r="BA5">
        <v>5.616617E-3</v>
      </c>
      <c r="BB5">
        <v>6.3297359999999999E-3</v>
      </c>
      <c r="BC5">
        <v>7.3443670000000001E-3</v>
      </c>
      <c r="BD5">
        <v>9.5984799999999995E-3</v>
      </c>
      <c r="BE5">
        <v>3.1652723000000001E-2</v>
      </c>
      <c r="BF5">
        <v>5.8174800999999998E-2</v>
      </c>
      <c r="BG5">
        <v>2.5615321E-2</v>
      </c>
      <c r="BH5">
        <v>5.4812410000000004E-3</v>
      </c>
      <c r="BI5">
        <v>3.1893563E-2</v>
      </c>
      <c r="BJ5">
        <v>2.3399540999999999E-2</v>
      </c>
      <c r="BK5">
        <v>1.0279959999999999E-2</v>
      </c>
      <c r="BL5">
        <v>5.1874499999999997E-3</v>
      </c>
      <c r="BM5">
        <v>2.4698297000000001E-2</v>
      </c>
      <c r="BN5">
        <v>8.1653449999999992E-3</v>
      </c>
      <c r="BO5">
        <v>1.9715223E-2</v>
      </c>
      <c r="BP5">
        <v>1.4283532999999999E-2</v>
      </c>
      <c r="BQ5">
        <v>3.2477047000000002E-2</v>
      </c>
      <c r="BR5">
        <v>7.9705539999999995E-3</v>
      </c>
      <c r="BS5">
        <v>4.6088032000000001E-2</v>
      </c>
      <c r="BT5">
        <v>7.0998179999999999E-3</v>
      </c>
      <c r="BU5">
        <v>4.1853039999999999E-3</v>
      </c>
      <c r="BV5">
        <v>5.0206594E-2</v>
      </c>
      <c r="BW5">
        <v>7.6785339999999999E-3</v>
      </c>
      <c r="BX5">
        <v>1.1134211999999999E-2</v>
      </c>
      <c r="BY5">
        <v>6.771432E-3</v>
      </c>
      <c r="BZ5">
        <v>5.1577899999999998E-3</v>
      </c>
      <c r="CA5">
        <v>5.3583629999999997E-3</v>
      </c>
      <c r="CB5">
        <v>1.0745052999999999E-2</v>
      </c>
      <c r="CC5">
        <v>1.2450816E-2</v>
      </c>
      <c r="CD5">
        <v>1.9329359999999999E-3</v>
      </c>
      <c r="CE5">
        <v>1.7537340000000001E-3</v>
      </c>
      <c r="CF5">
        <v>2.2327990000000002E-3</v>
      </c>
      <c r="CG5">
        <v>9.504775E-3</v>
      </c>
      <c r="CH5">
        <v>2.2381720000000001E-3</v>
      </c>
      <c r="CI5">
        <v>2.059642E-3</v>
      </c>
      <c r="CJ5">
        <v>2.0079870000000001E-3</v>
      </c>
      <c r="CK5">
        <v>2.4929650000000002E-3</v>
      </c>
      <c r="CL5">
        <v>1.2605190000000001E-3</v>
      </c>
      <c r="CM5">
        <v>1.519002E-3</v>
      </c>
      <c r="CN5">
        <v>1.141495E-3</v>
      </c>
      <c r="CO5">
        <v>2.8735240000000001E-3</v>
      </c>
      <c r="CP5">
        <v>2.3386819999999999E-3</v>
      </c>
      <c r="CQ5">
        <v>3.5996019999999999E-3</v>
      </c>
      <c r="CR5">
        <v>1.1222980000000001E-3</v>
      </c>
      <c r="CS5">
        <v>2.0371360000000002E-3</v>
      </c>
      <c r="CT5">
        <v>2.3073099999999999E-3</v>
      </c>
      <c r="CU5">
        <v>1.4575059999999999E-3</v>
      </c>
      <c r="CV5">
        <v>1.769496E-3</v>
      </c>
      <c r="CW5">
        <v>1.243802E-3</v>
      </c>
    </row>
    <row r="6" spans="1:101" x14ac:dyDescent="0.3">
      <c r="A6" t="s">
        <v>29</v>
      </c>
      <c r="B6">
        <v>0.17913848399999999</v>
      </c>
      <c r="C6">
        <v>0.16411315700000001</v>
      </c>
      <c r="D6">
        <v>0.139411692</v>
      </c>
      <c r="E6">
        <v>0.17838701400000001</v>
      </c>
      <c r="F6">
        <v>0.21035251899999999</v>
      </c>
      <c r="G6">
        <v>9.3150137999999993E-2</v>
      </c>
      <c r="H6">
        <v>0.123845552</v>
      </c>
      <c r="I6">
        <v>0.129882791</v>
      </c>
      <c r="J6">
        <v>0.15608309400000001</v>
      </c>
      <c r="K6">
        <v>0.13459306200000001</v>
      </c>
      <c r="L6">
        <v>0.22494958400000001</v>
      </c>
      <c r="M6">
        <v>0.34901876999999998</v>
      </c>
      <c r="N6">
        <v>0.28389545900000002</v>
      </c>
      <c r="O6">
        <v>0.38576727900000002</v>
      </c>
      <c r="P6">
        <v>0.333899316</v>
      </c>
      <c r="Q6">
        <v>3.0166544999999999E-2</v>
      </c>
      <c r="R6">
        <v>1.7229950000000001E-2</v>
      </c>
      <c r="S6">
        <v>4.0698694000000001E-2</v>
      </c>
      <c r="T6">
        <v>4.1115734000000001E-2</v>
      </c>
      <c r="U6">
        <v>4.0004406999999999E-2</v>
      </c>
      <c r="V6">
        <v>0.18106725000000001</v>
      </c>
      <c r="W6">
        <v>0.15163217900000001</v>
      </c>
      <c r="X6">
        <v>0.13804425000000001</v>
      </c>
      <c r="Y6">
        <v>8.9555281E-2</v>
      </c>
      <c r="Z6">
        <v>0.13310182700000001</v>
      </c>
      <c r="AA6">
        <v>0.27776359499999997</v>
      </c>
      <c r="AB6">
        <v>0.26991076000000003</v>
      </c>
      <c r="AC6">
        <v>0.30157204700000001</v>
      </c>
      <c r="AD6">
        <v>0.25357727200000002</v>
      </c>
      <c r="AE6">
        <v>0.17628102300000001</v>
      </c>
      <c r="AF6">
        <v>5.7005049999999998E-3</v>
      </c>
      <c r="AG6">
        <v>8.9330680000000006E-3</v>
      </c>
      <c r="AH6">
        <v>4.8873320000000003E-3</v>
      </c>
      <c r="AI6">
        <v>3.8334139999999998E-3</v>
      </c>
      <c r="AJ6">
        <v>2.7891069999999999E-3</v>
      </c>
      <c r="AK6">
        <v>9.0440690000000001E-3</v>
      </c>
      <c r="AL6">
        <v>1.025591E-2</v>
      </c>
      <c r="AM6">
        <v>1.4486772E-2</v>
      </c>
      <c r="AN6">
        <v>1.7067446999999999E-2</v>
      </c>
      <c r="AO6">
        <v>1.5227733E-2</v>
      </c>
      <c r="AP6">
        <v>5.6908519999999997E-3</v>
      </c>
      <c r="AQ6">
        <v>9.8886319999999996E-3</v>
      </c>
      <c r="AR6">
        <v>6.5371409999999998E-3</v>
      </c>
      <c r="AS6">
        <v>8.1891510000000004E-3</v>
      </c>
      <c r="AT6">
        <v>3.0022989999999999E-3</v>
      </c>
      <c r="AU6">
        <v>8.0406000000000002E-3</v>
      </c>
      <c r="AV6">
        <v>1.2385943999999999E-2</v>
      </c>
      <c r="AW6">
        <v>6.100945E-3</v>
      </c>
      <c r="AX6">
        <v>7.4734210000000001E-3</v>
      </c>
      <c r="AY6">
        <v>7.3431950000000003E-3</v>
      </c>
      <c r="AZ6">
        <v>0.16113328399999999</v>
      </c>
      <c r="BA6">
        <v>0.22082763699999999</v>
      </c>
      <c r="BB6">
        <v>0.248999951</v>
      </c>
      <c r="BC6">
        <v>0.196570297</v>
      </c>
      <c r="BD6">
        <v>0.213158605</v>
      </c>
      <c r="BE6">
        <v>8.9866255000000006E-2</v>
      </c>
      <c r="BF6">
        <v>4.6635416999999998E-2</v>
      </c>
      <c r="BG6">
        <v>9.6305423000000001E-2</v>
      </c>
      <c r="BH6">
        <v>0.14507214099999999</v>
      </c>
      <c r="BI6">
        <v>5.5998959000000001E-2</v>
      </c>
      <c r="BJ6">
        <v>0.191889961</v>
      </c>
      <c r="BK6">
        <v>0.34935903299999999</v>
      </c>
      <c r="BL6">
        <v>0.33770376899999999</v>
      </c>
      <c r="BM6">
        <v>0.27844343199999999</v>
      </c>
      <c r="BN6">
        <v>0.32136800799999998</v>
      </c>
      <c r="BO6">
        <v>0.12538580599999999</v>
      </c>
      <c r="BP6">
        <v>1.7111979999999999E-2</v>
      </c>
      <c r="BQ6">
        <v>2.3518167999999999E-2</v>
      </c>
      <c r="BR6">
        <v>1.3603163999999999E-2</v>
      </c>
      <c r="BS6">
        <v>2.6867044E-2</v>
      </c>
      <c r="BT6">
        <v>0.222844655</v>
      </c>
      <c r="BU6">
        <v>0.108156086</v>
      </c>
      <c r="BV6">
        <v>0.14877328000000001</v>
      </c>
      <c r="BW6">
        <v>0.24309486899999999</v>
      </c>
      <c r="BX6">
        <v>0.35075624399999999</v>
      </c>
      <c r="BY6">
        <v>0.23074709700000001</v>
      </c>
      <c r="BZ6">
        <v>0.195518466</v>
      </c>
      <c r="CA6">
        <v>0.20590645499999999</v>
      </c>
      <c r="CB6">
        <v>0.27925793700000001</v>
      </c>
      <c r="CC6">
        <v>0.270487335</v>
      </c>
      <c r="CD6">
        <v>1.1014401E-2</v>
      </c>
      <c r="CE6">
        <v>9.0079949999999995E-3</v>
      </c>
      <c r="CF6">
        <v>1.3592294E-2</v>
      </c>
      <c r="CG6">
        <v>1.7638495000000001E-2</v>
      </c>
      <c r="CH6">
        <v>1.0772245E-2</v>
      </c>
      <c r="CI6">
        <v>1.401824E-2</v>
      </c>
      <c r="CJ6">
        <v>1.2763165E-2</v>
      </c>
      <c r="CK6">
        <v>1.0430899E-2</v>
      </c>
      <c r="CL6">
        <v>8.5924820000000002E-3</v>
      </c>
      <c r="CM6">
        <v>7.1614110000000003E-3</v>
      </c>
      <c r="CN6">
        <v>1.0569652000000001E-2</v>
      </c>
      <c r="CO6">
        <v>9.8947870000000004E-3</v>
      </c>
      <c r="CP6">
        <v>1.1897174999999999E-2</v>
      </c>
      <c r="CQ6">
        <v>1.0204464999999999E-2</v>
      </c>
      <c r="CR6">
        <v>9.0997649999999992E-3</v>
      </c>
      <c r="CS6">
        <v>1.0295631E-2</v>
      </c>
      <c r="CT6">
        <v>1.0275318E-2</v>
      </c>
      <c r="CU6">
        <v>9.9592559999999997E-3</v>
      </c>
      <c r="CV6">
        <v>9.1702160000000001E-3</v>
      </c>
      <c r="CW6">
        <v>7.9002169999999993E-3</v>
      </c>
    </row>
    <row r="7" spans="1:101" x14ac:dyDescent="0.3">
      <c r="A7" t="s">
        <v>30</v>
      </c>
      <c r="B7">
        <v>0.191861222</v>
      </c>
      <c r="C7">
        <v>0.19664656699999999</v>
      </c>
      <c r="D7">
        <v>0.12540338400000001</v>
      </c>
      <c r="E7">
        <v>0.18079675100000001</v>
      </c>
      <c r="F7">
        <v>0.183124287</v>
      </c>
      <c r="G7">
        <v>0.23770860899999999</v>
      </c>
      <c r="H7">
        <v>0.240239497</v>
      </c>
      <c r="I7">
        <v>0.25018829399999998</v>
      </c>
      <c r="J7">
        <v>0.25299231100000003</v>
      </c>
      <c r="K7">
        <v>0.26036687200000003</v>
      </c>
      <c r="L7">
        <v>0.204506299</v>
      </c>
      <c r="M7">
        <v>0.168723558</v>
      </c>
      <c r="N7">
        <v>0.14783025</v>
      </c>
      <c r="O7">
        <v>0.15512028999999999</v>
      </c>
      <c r="P7">
        <v>0.182308208</v>
      </c>
      <c r="Q7">
        <v>0.20085249399999999</v>
      </c>
      <c r="R7">
        <v>0.28413749900000002</v>
      </c>
      <c r="S7">
        <v>0.28811462500000001</v>
      </c>
      <c r="T7">
        <v>0.24638049400000001</v>
      </c>
      <c r="U7">
        <v>0.148572867</v>
      </c>
      <c r="V7">
        <v>0.21644348999999999</v>
      </c>
      <c r="W7">
        <v>0.206239801</v>
      </c>
      <c r="X7">
        <v>0.190673167</v>
      </c>
      <c r="Y7">
        <v>0.15718453099999999</v>
      </c>
      <c r="Z7">
        <v>0.19858879400000001</v>
      </c>
      <c r="AA7">
        <v>0.193674768</v>
      </c>
      <c r="AB7">
        <v>0.21916740900000001</v>
      </c>
      <c r="AC7">
        <v>0.180343276</v>
      </c>
      <c r="AD7">
        <v>0.16119330100000001</v>
      </c>
      <c r="AE7">
        <v>0.19295321800000001</v>
      </c>
      <c r="AF7">
        <v>0.115265932</v>
      </c>
      <c r="AG7">
        <v>0.14765562600000001</v>
      </c>
      <c r="AH7">
        <v>8.4930171999999998E-2</v>
      </c>
      <c r="AI7">
        <v>8.6126382000000001E-2</v>
      </c>
      <c r="AJ7">
        <v>7.3656226000000005E-2</v>
      </c>
      <c r="AK7">
        <v>0.17003290900000001</v>
      </c>
      <c r="AL7">
        <v>0.2004531</v>
      </c>
      <c r="AM7">
        <v>0.21523303199999999</v>
      </c>
      <c r="AN7">
        <v>0.167302952</v>
      </c>
      <c r="AO7">
        <v>0.15899526</v>
      </c>
      <c r="AP7">
        <v>9.6731379000000006E-2</v>
      </c>
      <c r="AQ7">
        <v>0.10657514</v>
      </c>
      <c r="AR7">
        <v>0.109297908</v>
      </c>
      <c r="AS7">
        <v>0.104400884</v>
      </c>
      <c r="AT7">
        <v>9.7240670000000001E-2</v>
      </c>
      <c r="AU7">
        <v>0.11385010600000001</v>
      </c>
      <c r="AV7">
        <v>0.114566525</v>
      </c>
      <c r="AW7">
        <v>0.13771297199999999</v>
      </c>
      <c r="AX7">
        <v>8.5157116000000005E-2</v>
      </c>
      <c r="AY7">
        <v>7.9222590999999995E-2</v>
      </c>
      <c r="AZ7">
        <v>0.10733232600000001</v>
      </c>
      <c r="BA7">
        <v>0.20996868899999999</v>
      </c>
      <c r="BB7">
        <v>0.224225129</v>
      </c>
      <c r="BC7">
        <v>0.16150780100000001</v>
      </c>
      <c r="BD7">
        <v>0.17622131599999999</v>
      </c>
      <c r="BE7">
        <v>0.286719693</v>
      </c>
      <c r="BF7">
        <v>0.22561560999999999</v>
      </c>
      <c r="BG7">
        <v>0.294791419</v>
      </c>
      <c r="BH7">
        <v>0.30615956500000002</v>
      </c>
      <c r="BI7">
        <v>0.26015933699999999</v>
      </c>
      <c r="BJ7">
        <v>0.187556422</v>
      </c>
      <c r="BK7">
        <v>0.19342466999999999</v>
      </c>
      <c r="BL7">
        <v>0.23161247200000001</v>
      </c>
      <c r="BM7">
        <v>0.176514487</v>
      </c>
      <c r="BN7">
        <v>0.25452738899999999</v>
      </c>
      <c r="BO7">
        <v>0.26753221599999999</v>
      </c>
      <c r="BP7">
        <v>0.20208742299999999</v>
      </c>
      <c r="BQ7">
        <v>0.28993722399999999</v>
      </c>
      <c r="BR7">
        <v>0.215852672</v>
      </c>
      <c r="BS7">
        <v>0.24410116800000001</v>
      </c>
      <c r="BT7">
        <v>0.28835825399999998</v>
      </c>
      <c r="BU7">
        <v>0.20917730200000001</v>
      </c>
      <c r="BV7">
        <v>0.24940256899999999</v>
      </c>
      <c r="BW7">
        <v>0.28482464099999999</v>
      </c>
      <c r="BX7">
        <v>0.17257787399999999</v>
      </c>
      <c r="BY7">
        <v>0.20705046999999999</v>
      </c>
      <c r="BZ7">
        <v>0.17259925300000001</v>
      </c>
      <c r="CA7">
        <v>0.18266507900000001</v>
      </c>
      <c r="CB7">
        <v>0.25130000499999999</v>
      </c>
      <c r="CC7">
        <v>0.222489199</v>
      </c>
      <c r="CD7">
        <v>7.7523893999999996E-2</v>
      </c>
      <c r="CE7">
        <v>7.7875479999999997E-2</v>
      </c>
      <c r="CF7">
        <v>8.8621037999999999E-2</v>
      </c>
      <c r="CG7">
        <v>0.14836311699999999</v>
      </c>
      <c r="CH7">
        <v>7.8374525E-2</v>
      </c>
      <c r="CI7">
        <v>8.4936888000000002E-2</v>
      </c>
      <c r="CJ7">
        <v>0.109129199</v>
      </c>
      <c r="CK7">
        <v>0.10652805</v>
      </c>
      <c r="CL7">
        <v>7.2715414000000006E-2</v>
      </c>
      <c r="CM7">
        <v>9.1539501999999995E-2</v>
      </c>
      <c r="CN7">
        <v>7.9831208000000001E-2</v>
      </c>
      <c r="CO7">
        <v>9.5593566000000005E-2</v>
      </c>
      <c r="CP7">
        <v>8.3423986000000006E-2</v>
      </c>
      <c r="CQ7">
        <v>0.10899523799999999</v>
      </c>
      <c r="CR7">
        <v>7.2239847999999995E-2</v>
      </c>
      <c r="CS7">
        <v>8.0889348E-2</v>
      </c>
      <c r="CT7">
        <v>8.3610227999999995E-2</v>
      </c>
      <c r="CU7">
        <v>7.6121390999999997E-2</v>
      </c>
      <c r="CV7">
        <v>6.7761852999999997E-2</v>
      </c>
      <c r="CW7">
        <v>7.0774891000000006E-2</v>
      </c>
    </row>
    <row r="8" spans="1:101" x14ac:dyDescent="0.3">
      <c r="A8" t="s">
        <v>31</v>
      </c>
      <c r="B8">
        <v>0.173074168</v>
      </c>
      <c r="C8">
        <v>0.15663485099999999</v>
      </c>
      <c r="D8">
        <v>0.126814222</v>
      </c>
      <c r="E8">
        <v>0.15664434799999999</v>
      </c>
      <c r="F8">
        <v>0.14191184000000001</v>
      </c>
      <c r="G8">
        <v>0.154967671</v>
      </c>
      <c r="H8">
        <v>0.171714435</v>
      </c>
      <c r="I8">
        <v>0.122326216</v>
      </c>
      <c r="J8">
        <v>0.14821736499999999</v>
      </c>
      <c r="K8">
        <v>0.13156131500000001</v>
      </c>
      <c r="L8">
        <v>0.24751066799999999</v>
      </c>
      <c r="M8">
        <v>0.14262070199999999</v>
      </c>
      <c r="N8">
        <v>0.12922910600000001</v>
      </c>
      <c r="O8">
        <v>0.13459137700000001</v>
      </c>
      <c r="P8">
        <v>0.13460549199999999</v>
      </c>
      <c r="Q8">
        <v>0.140638602</v>
      </c>
      <c r="R8">
        <v>7.2552390999999994E-2</v>
      </c>
      <c r="S8">
        <v>9.7466141000000006E-2</v>
      </c>
      <c r="T8">
        <v>6.5856801000000006E-2</v>
      </c>
      <c r="U8">
        <v>0.132709514</v>
      </c>
      <c r="V8">
        <v>0.111105118</v>
      </c>
      <c r="W8">
        <v>0.104003127</v>
      </c>
      <c r="X8">
        <v>0.106463474</v>
      </c>
      <c r="Y8">
        <v>0.19231800399999999</v>
      </c>
      <c r="Z8">
        <v>0.100827424</v>
      </c>
      <c r="AA8">
        <v>8.5855942000000005E-2</v>
      </c>
      <c r="AB8">
        <v>8.8652969999999998E-2</v>
      </c>
      <c r="AC8">
        <v>0.117040439</v>
      </c>
      <c r="AD8">
        <v>8.1379584000000005E-2</v>
      </c>
      <c r="AE8">
        <v>5.7556639E-2</v>
      </c>
      <c r="AF8">
        <v>1.6924656E-2</v>
      </c>
      <c r="AG8">
        <v>1.5752835E-2</v>
      </c>
      <c r="AH8">
        <v>1.2370951E-2</v>
      </c>
      <c r="AI8">
        <v>1.5946979E-2</v>
      </c>
      <c r="AJ8">
        <v>1.7080950000000001E-2</v>
      </c>
      <c r="AK8">
        <v>3.7918092E-2</v>
      </c>
      <c r="AL8">
        <v>7.4415633999999994E-2</v>
      </c>
      <c r="AM8">
        <v>2.2150616000000001E-2</v>
      </c>
      <c r="AN8">
        <v>1.403426E-2</v>
      </c>
      <c r="AO8">
        <v>2.0055439000000001E-2</v>
      </c>
      <c r="AP8">
        <v>1.0171137E-2</v>
      </c>
      <c r="AQ8">
        <v>7.5653889999999996E-3</v>
      </c>
      <c r="AR8">
        <v>5.6831119999999997E-3</v>
      </c>
      <c r="AS8">
        <v>6.0833090000000003E-3</v>
      </c>
      <c r="AT8">
        <v>1.6116855999999999E-2</v>
      </c>
      <c r="AU8">
        <v>5.992313E-3</v>
      </c>
      <c r="AV8">
        <v>6.2252289999999997E-3</v>
      </c>
      <c r="AW8">
        <v>7.5468410000000003E-3</v>
      </c>
      <c r="AX8">
        <v>5.0896040000000002E-3</v>
      </c>
      <c r="AY8">
        <v>4.4269879999999998E-3</v>
      </c>
      <c r="AZ8">
        <v>0.314451113</v>
      </c>
      <c r="BA8">
        <v>0.16539759600000001</v>
      </c>
      <c r="BB8">
        <v>0.138934167</v>
      </c>
      <c r="BC8">
        <v>0.221397279</v>
      </c>
      <c r="BD8">
        <v>0.220582689</v>
      </c>
      <c r="BE8">
        <v>9.1830859000000001E-2</v>
      </c>
      <c r="BF8">
        <v>0.198511036</v>
      </c>
      <c r="BG8">
        <v>0.11608877300000001</v>
      </c>
      <c r="BH8">
        <v>6.6572807999999997E-2</v>
      </c>
      <c r="BI8">
        <v>0.168798581</v>
      </c>
      <c r="BJ8">
        <v>0.192165797</v>
      </c>
      <c r="BK8">
        <v>0.12652819900000001</v>
      </c>
      <c r="BL8">
        <v>8.6675845000000001E-2</v>
      </c>
      <c r="BM8">
        <v>0.135884376</v>
      </c>
      <c r="BN8">
        <v>6.1002341000000002E-2</v>
      </c>
      <c r="BO8">
        <v>9.1294906999999995E-2</v>
      </c>
      <c r="BP8">
        <v>5.3554378999999999E-2</v>
      </c>
      <c r="BQ8">
        <v>7.1022217999999998E-2</v>
      </c>
      <c r="BR8">
        <v>5.9770740000000003E-2</v>
      </c>
      <c r="BS8">
        <v>9.0245722E-2</v>
      </c>
      <c r="BT8">
        <v>8.1340702000000001E-2</v>
      </c>
      <c r="BU8">
        <v>0.148414412</v>
      </c>
      <c r="BV8">
        <v>0.114846067</v>
      </c>
      <c r="BW8">
        <v>7.9305229000000005E-2</v>
      </c>
      <c r="BX8">
        <v>0.128813178</v>
      </c>
      <c r="BY8">
        <v>0.13736009699999999</v>
      </c>
      <c r="BZ8">
        <v>0.12389671100000001</v>
      </c>
      <c r="CA8">
        <v>0.129608852</v>
      </c>
      <c r="CB8">
        <v>6.3702983000000005E-2</v>
      </c>
      <c r="CC8">
        <v>9.7680068999999994E-2</v>
      </c>
      <c r="CD8">
        <v>1.6176989999999999E-2</v>
      </c>
      <c r="CE8">
        <v>3.2984365000000002E-2</v>
      </c>
      <c r="CF8">
        <v>8.0807550000000002E-3</v>
      </c>
      <c r="CG8">
        <v>1.6504641E-2</v>
      </c>
      <c r="CH8">
        <v>6.6659370000000003E-3</v>
      </c>
      <c r="CI8">
        <v>2.9880180999999999E-2</v>
      </c>
      <c r="CJ8">
        <v>2.2911190000000001E-2</v>
      </c>
      <c r="CK8">
        <v>2.8348833E-2</v>
      </c>
      <c r="CL8">
        <v>2.0074715999999999E-2</v>
      </c>
      <c r="CM8">
        <v>2.2610002000000001E-2</v>
      </c>
      <c r="CN8">
        <v>8.2161630000000003E-3</v>
      </c>
      <c r="CO8">
        <v>9.8173119999999999E-3</v>
      </c>
      <c r="CP8">
        <v>7.7193590000000003E-3</v>
      </c>
      <c r="CQ8">
        <v>6.6556330000000002E-3</v>
      </c>
      <c r="CR8">
        <v>8.0814379999999998E-3</v>
      </c>
      <c r="CS8">
        <v>8.4660410000000005E-3</v>
      </c>
      <c r="CT8">
        <v>8.4843799999999997E-3</v>
      </c>
      <c r="CU8">
        <v>8.1571899999999999E-3</v>
      </c>
      <c r="CV8">
        <v>9.3696270000000002E-3</v>
      </c>
      <c r="CW8">
        <v>6.6943840000000003E-3</v>
      </c>
    </row>
    <row r="9" spans="1:101" x14ac:dyDescent="0.3">
      <c r="A9" t="s">
        <v>32</v>
      </c>
      <c r="B9">
        <v>1.389492E-3</v>
      </c>
      <c r="C9">
        <v>1.0668979999999999E-3</v>
      </c>
      <c r="D9">
        <v>9.9214599999999996E-4</v>
      </c>
      <c r="E9">
        <v>1.292046E-3</v>
      </c>
      <c r="F9">
        <v>1.360815E-3</v>
      </c>
      <c r="G9">
        <v>1.6682789999999999E-3</v>
      </c>
      <c r="H9">
        <v>1.603798E-3</v>
      </c>
      <c r="I9">
        <v>1.7781330000000001E-3</v>
      </c>
      <c r="J9">
        <v>1.262698E-3</v>
      </c>
      <c r="K9">
        <v>1.0829920000000001E-3</v>
      </c>
      <c r="L9">
        <v>0</v>
      </c>
      <c r="M9">
        <v>1.5944069999999999E-3</v>
      </c>
      <c r="N9">
        <v>2.944126E-3</v>
      </c>
      <c r="O9">
        <v>2.4534299999999999E-3</v>
      </c>
      <c r="P9">
        <v>1.23328E-3</v>
      </c>
      <c r="Q9">
        <v>9.1828500000000002E-4</v>
      </c>
      <c r="R9">
        <v>7.4150400000000003E-4</v>
      </c>
      <c r="S9">
        <v>2.0676179999999998E-3</v>
      </c>
      <c r="T9">
        <v>1.104991E-3</v>
      </c>
      <c r="U9">
        <v>5.8128699999999999E-4</v>
      </c>
      <c r="V9">
        <v>1.5074800000000001E-3</v>
      </c>
      <c r="W9">
        <v>1.6258189999999999E-3</v>
      </c>
      <c r="X9">
        <v>1.499932E-3</v>
      </c>
      <c r="Y9">
        <v>1.2534759999999999E-3</v>
      </c>
      <c r="Z9">
        <v>1.456864E-3</v>
      </c>
      <c r="AA9">
        <v>1.743295E-3</v>
      </c>
      <c r="AB9">
        <v>2.5852179999999998E-3</v>
      </c>
      <c r="AC9">
        <v>2.2816479999999998E-3</v>
      </c>
      <c r="AD9">
        <v>2.2796180000000002E-3</v>
      </c>
      <c r="AE9">
        <v>2.579526E-3</v>
      </c>
      <c r="AF9">
        <v>1.273248E-3</v>
      </c>
      <c r="AG9">
        <v>2.4742480000000001E-3</v>
      </c>
      <c r="AH9">
        <v>2.0886559999999999E-3</v>
      </c>
      <c r="AI9">
        <v>2.7648030000000001E-3</v>
      </c>
      <c r="AJ9">
        <v>3.1690389999999998E-3</v>
      </c>
      <c r="AK9">
        <v>6.4256469999999996E-3</v>
      </c>
      <c r="AL9">
        <v>4.7412419999999997E-3</v>
      </c>
      <c r="AM9">
        <v>4.0575740000000004E-3</v>
      </c>
      <c r="AN9">
        <v>3.095661E-3</v>
      </c>
      <c r="AO9">
        <v>3.634492E-3</v>
      </c>
      <c r="AP9">
        <v>1.7648480000000001E-3</v>
      </c>
      <c r="AQ9">
        <v>2.1450599999999998E-3</v>
      </c>
      <c r="AR9">
        <v>1.67336E-3</v>
      </c>
      <c r="AS9">
        <v>1.9980950000000001E-3</v>
      </c>
      <c r="AT9">
        <v>2.4928419999999999E-3</v>
      </c>
      <c r="AU9">
        <v>2.1623440000000001E-3</v>
      </c>
      <c r="AV9">
        <v>1.9812160000000001E-3</v>
      </c>
      <c r="AW9">
        <v>2.5553020000000002E-3</v>
      </c>
      <c r="AX9">
        <v>1.924172E-3</v>
      </c>
      <c r="AY9">
        <v>1.9859259999999998E-3</v>
      </c>
      <c r="AZ9">
        <v>1.2341170000000001E-3</v>
      </c>
      <c r="BA9">
        <v>1.8986719999999999E-3</v>
      </c>
      <c r="BB9">
        <v>2.2627319999999999E-3</v>
      </c>
      <c r="BC9">
        <v>1.6964180000000001E-3</v>
      </c>
      <c r="BD9">
        <v>1.345314E-3</v>
      </c>
      <c r="BE9">
        <v>5.5002000000000002E-4</v>
      </c>
      <c r="BF9">
        <v>6.5946199999999998E-4</v>
      </c>
      <c r="BG9">
        <v>1.0091950000000001E-3</v>
      </c>
      <c r="BH9">
        <v>1.3618289999999999E-3</v>
      </c>
      <c r="BI9">
        <v>1.3018769999999999E-3</v>
      </c>
      <c r="BJ9">
        <v>0</v>
      </c>
      <c r="BK9">
        <v>2.1610100000000001E-3</v>
      </c>
      <c r="BL9">
        <v>1.94454E-3</v>
      </c>
      <c r="BM9">
        <v>1.696351E-3</v>
      </c>
      <c r="BN9">
        <v>7.3670400000000003E-4</v>
      </c>
      <c r="BO9">
        <v>1.0232730000000001E-3</v>
      </c>
      <c r="BP9">
        <v>1.1418699999999999E-3</v>
      </c>
      <c r="BQ9">
        <v>8.3256699999999999E-4</v>
      </c>
      <c r="BR9">
        <v>7.4032299999999998E-4</v>
      </c>
      <c r="BS9">
        <v>1.0012910000000001E-3</v>
      </c>
      <c r="BT9">
        <v>1.9657490000000001E-3</v>
      </c>
      <c r="BU9">
        <v>1.0413040000000001E-3</v>
      </c>
      <c r="BV9">
        <v>9.2938999999999999E-4</v>
      </c>
      <c r="BW9">
        <v>1.9067590000000001E-3</v>
      </c>
      <c r="BX9">
        <v>1.9747359999999999E-3</v>
      </c>
      <c r="BY9">
        <v>1.6810390000000001E-3</v>
      </c>
      <c r="BZ9">
        <v>1.7493999999999999E-3</v>
      </c>
      <c r="CA9">
        <v>1.7482489999999999E-3</v>
      </c>
      <c r="CB9">
        <v>1.3579600000000001E-3</v>
      </c>
      <c r="CC9">
        <v>1.2391730000000001E-3</v>
      </c>
      <c r="CD9">
        <v>3.1178299999999998E-3</v>
      </c>
      <c r="CE9">
        <v>3.8433360000000001E-3</v>
      </c>
      <c r="CF9">
        <v>2.2085160000000002E-3</v>
      </c>
      <c r="CG9">
        <v>2.874106E-3</v>
      </c>
      <c r="CH9">
        <v>1.878408E-3</v>
      </c>
      <c r="CI9">
        <v>3.841073E-3</v>
      </c>
      <c r="CJ9">
        <v>3.4522070000000001E-3</v>
      </c>
      <c r="CK9">
        <v>3.7167490000000001E-3</v>
      </c>
      <c r="CL9">
        <v>2.8782679999999998E-3</v>
      </c>
      <c r="CM9">
        <v>3.2328909999999999E-3</v>
      </c>
      <c r="CN9">
        <v>2.5560560000000001E-3</v>
      </c>
      <c r="CO9">
        <v>2.0096720000000001E-3</v>
      </c>
      <c r="CP9">
        <v>1.8698619999999999E-3</v>
      </c>
      <c r="CQ9">
        <v>2.1462299999999998E-3</v>
      </c>
      <c r="CR9">
        <v>2.147276E-3</v>
      </c>
      <c r="CS9">
        <v>2.6386980000000001E-3</v>
      </c>
      <c r="CT9">
        <v>2.7988879999999998E-3</v>
      </c>
      <c r="CU9">
        <v>2.638554E-3</v>
      </c>
      <c r="CV9">
        <v>1.760962E-3</v>
      </c>
      <c r="CW9">
        <v>1.9836229999999999E-3</v>
      </c>
    </row>
    <row r="10" spans="1:101" x14ac:dyDescent="0.3">
      <c r="A10" t="s">
        <v>33</v>
      </c>
      <c r="B10">
        <v>2.1212829999999998E-3</v>
      </c>
      <c r="C10">
        <v>2.1907189999999998E-3</v>
      </c>
      <c r="D10">
        <v>1.629468E-3</v>
      </c>
      <c r="E10">
        <v>2.2999309999999999E-3</v>
      </c>
      <c r="F10">
        <v>2.228664E-3</v>
      </c>
      <c r="G10">
        <v>2.7197739999999999E-3</v>
      </c>
      <c r="H10">
        <v>3.854424E-3</v>
      </c>
      <c r="I10">
        <v>2.7874509999999998E-3</v>
      </c>
      <c r="J10">
        <v>4.3986959999999997E-3</v>
      </c>
      <c r="K10">
        <v>3.8637609999999998E-3</v>
      </c>
      <c r="L10">
        <v>6.1963590000000002E-3</v>
      </c>
      <c r="M10">
        <v>7.5128679999999998E-3</v>
      </c>
      <c r="N10">
        <v>7.1692650000000002E-3</v>
      </c>
      <c r="O10">
        <v>1.1941835E-2</v>
      </c>
      <c r="P10">
        <v>7.6448510000000003E-3</v>
      </c>
      <c r="Q10">
        <v>5.0015179999999999E-3</v>
      </c>
      <c r="R10">
        <v>5.041004E-3</v>
      </c>
      <c r="S10">
        <v>9.5302800000000003E-3</v>
      </c>
      <c r="T10">
        <v>4.5899000000000001E-3</v>
      </c>
      <c r="U10">
        <v>6.0009379999999999E-3</v>
      </c>
      <c r="V10">
        <v>3.8585640000000001E-3</v>
      </c>
      <c r="W10">
        <v>2.3666830000000001E-3</v>
      </c>
      <c r="X10">
        <v>6.7372700000000001E-3</v>
      </c>
      <c r="Y10">
        <v>3.886118E-3</v>
      </c>
      <c r="Z10">
        <v>6.6127920000000001E-3</v>
      </c>
      <c r="AA10">
        <v>5.1877349999999997E-3</v>
      </c>
      <c r="AB10">
        <v>3.8624829999999999E-3</v>
      </c>
      <c r="AC10">
        <v>6.5649200000000001E-3</v>
      </c>
      <c r="AD10">
        <v>7.6840140000000003E-3</v>
      </c>
      <c r="AE10">
        <v>1.7346675999999998E-2</v>
      </c>
      <c r="AF10">
        <v>6.876587E-3</v>
      </c>
      <c r="AG10">
        <v>5.9079509999999998E-3</v>
      </c>
      <c r="AH10">
        <v>8.5182360000000002E-3</v>
      </c>
      <c r="AI10">
        <v>1.3263827000000001E-2</v>
      </c>
      <c r="AJ10">
        <v>8.6257799999999996E-3</v>
      </c>
      <c r="AK10">
        <v>9.4319469999999996E-3</v>
      </c>
      <c r="AL10">
        <v>1.0718724000000001E-2</v>
      </c>
      <c r="AM10">
        <v>8.7125659999999997E-3</v>
      </c>
      <c r="AN10">
        <v>1.0305194E-2</v>
      </c>
      <c r="AO10">
        <v>5.719081E-3</v>
      </c>
      <c r="AP10">
        <v>9.8735360000000005E-3</v>
      </c>
      <c r="AQ10">
        <v>1.2004201000000001E-2</v>
      </c>
      <c r="AR10">
        <v>9.6744459999999997E-3</v>
      </c>
      <c r="AS10">
        <v>1.4832688E-2</v>
      </c>
      <c r="AT10">
        <v>6.5095769999999999E-3</v>
      </c>
      <c r="AU10">
        <v>1.5874317999999998E-2</v>
      </c>
      <c r="AV10">
        <v>1.9449807E-2</v>
      </c>
      <c r="AW10">
        <v>9.9596679999999996E-3</v>
      </c>
      <c r="AX10">
        <v>1.8174816999999999E-2</v>
      </c>
      <c r="AY10">
        <v>1.6097363999999999E-2</v>
      </c>
      <c r="AZ10">
        <v>1.3338899999999999E-3</v>
      </c>
      <c r="BA10">
        <v>2.2613659999999999E-3</v>
      </c>
      <c r="BB10">
        <v>1.8829879999999999E-3</v>
      </c>
      <c r="BC10">
        <v>1.4351259999999999E-3</v>
      </c>
      <c r="BD10">
        <v>1.843134E-3</v>
      </c>
      <c r="BE10">
        <v>2.7010145999999999E-2</v>
      </c>
      <c r="BF10">
        <v>2.9861919999999999E-3</v>
      </c>
      <c r="BG10">
        <v>3.813463E-3</v>
      </c>
      <c r="BH10">
        <v>3.523895E-3</v>
      </c>
      <c r="BI10">
        <v>6.6654399999999999E-3</v>
      </c>
      <c r="BJ10">
        <v>3.9068480000000001E-3</v>
      </c>
      <c r="BK10">
        <v>5.4865820000000003E-3</v>
      </c>
      <c r="BL10">
        <v>6.2363399999999999E-3</v>
      </c>
      <c r="BM10">
        <v>6.0869469999999997E-3</v>
      </c>
      <c r="BN10">
        <v>4.2715349999999999E-3</v>
      </c>
      <c r="BO10">
        <v>4.9745149999999997E-3</v>
      </c>
      <c r="BP10">
        <v>7.4434990000000001E-3</v>
      </c>
      <c r="BQ10">
        <v>7.0863080000000004E-3</v>
      </c>
      <c r="BR10">
        <v>5.1799300000000001E-3</v>
      </c>
      <c r="BS10">
        <v>6.338425E-3</v>
      </c>
      <c r="BT10">
        <v>3.378425E-3</v>
      </c>
      <c r="BU10">
        <v>3.5246409999999998E-3</v>
      </c>
      <c r="BV10">
        <v>4.139284E-3</v>
      </c>
      <c r="BW10">
        <v>3.4955350000000001E-3</v>
      </c>
      <c r="BX10">
        <v>5.8264140000000002E-3</v>
      </c>
      <c r="BY10">
        <v>4.4406890000000003E-3</v>
      </c>
      <c r="BZ10">
        <v>2.0614079999999998E-3</v>
      </c>
      <c r="CA10">
        <v>2.122624E-3</v>
      </c>
      <c r="CB10">
        <v>1.6647162E-2</v>
      </c>
      <c r="CC10">
        <v>2.7228690000000002E-3</v>
      </c>
      <c r="CD10">
        <v>8.6128100000000003E-3</v>
      </c>
      <c r="CE10">
        <v>6.7756780000000003E-3</v>
      </c>
      <c r="CF10">
        <v>9.1653979999999999E-3</v>
      </c>
      <c r="CG10">
        <v>4.666814E-3</v>
      </c>
      <c r="CH10">
        <v>1.0496210000000001E-2</v>
      </c>
      <c r="CI10">
        <v>1.2636092999999999E-2</v>
      </c>
      <c r="CJ10">
        <v>8.6850439999999994E-3</v>
      </c>
      <c r="CK10">
        <v>8.6399210000000001E-3</v>
      </c>
      <c r="CL10">
        <v>7.0112209999999998E-3</v>
      </c>
      <c r="CM10">
        <v>1.1464960999999999E-2</v>
      </c>
      <c r="CN10">
        <v>1.4915922E-2</v>
      </c>
      <c r="CO10">
        <v>1.1225064E-2</v>
      </c>
      <c r="CP10">
        <v>1.3272427999999999E-2</v>
      </c>
      <c r="CQ10">
        <v>8.4110799999999996E-3</v>
      </c>
      <c r="CR10">
        <v>1.2164899999999999E-2</v>
      </c>
      <c r="CS10">
        <v>1.4809358E-2</v>
      </c>
      <c r="CT10">
        <v>1.4621711000000001E-2</v>
      </c>
      <c r="CU10">
        <v>1.6090954000000001E-2</v>
      </c>
      <c r="CV10">
        <v>1.4496795999999999E-2</v>
      </c>
      <c r="CW10">
        <v>1.3044853E-2</v>
      </c>
    </row>
    <row r="11" spans="1:101" x14ac:dyDescent="0.3">
      <c r="A11" t="s">
        <v>34</v>
      </c>
      <c r="B11">
        <v>1.8628707000000001E-2</v>
      </c>
      <c r="C11">
        <v>2.8887217999999999E-2</v>
      </c>
      <c r="D11">
        <v>1.5477107E-2</v>
      </c>
      <c r="E11">
        <v>1.8410881E-2</v>
      </c>
      <c r="F11">
        <v>2.1454296000000001E-2</v>
      </c>
      <c r="G11">
        <v>3.2680907000000002E-2</v>
      </c>
      <c r="H11">
        <v>4.0691177000000002E-2</v>
      </c>
      <c r="I11">
        <v>4.5477861000000001E-2</v>
      </c>
      <c r="J11">
        <v>4.5204011000000002E-2</v>
      </c>
      <c r="K11">
        <v>6.2322649000000001E-2</v>
      </c>
      <c r="L11">
        <v>2.2797399999999999E-2</v>
      </c>
      <c r="M11">
        <v>5.3542725999999999E-2</v>
      </c>
      <c r="N11">
        <v>3.1795439000000002E-2</v>
      </c>
      <c r="O11">
        <v>1.8984226E-2</v>
      </c>
      <c r="P11">
        <v>4.6062720000000001E-2</v>
      </c>
      <c r="Q11">
        <v>3.9086251000000002E-2</v>
      </c>
      <c r="R11">
        <v>0.24952876900000001</v>
      </c>
      <c r="S11">
        <v>4.8017771000000001E-2</v>
      </c>
      <c r="T11">
        <v>0.137671456</v>
      </c>
      <c r="U11">
        <v>0.18340406000000001</v>
      </c>
      <c r="V11">
        <v>0.122904107</v>
      </c>
      <c r="W11">
        <v>2.4791526000000001E-2</v>
      </c>
      <c r="X11">
        <v>8.7561211E-2</v>
      </c>
      <c r="Y11">
        <v>0.252780538</v>
      </c>
      <c r="Z11">
        <v>9.0365555E-2</v>
      </c>
      <c r="AA11">
        <v>4.5285817999999999E-2</v>
      </c>
      <c r="AB11">
        <v>6.1775908999999997E-2</v>
      </c>
      <c r="AC11">
        <v>3.6877621999999999E-2</v>
      </c>
      <c r="AD11">
        <v>2.0179854000000001E-2</v>
      </c>
      <c r="AE11">
        <v>1.5931389000000001E-2</v>
      </c>
      <c r="AF11">
        <v>2.3618707999999999E-2</v>
      </c>
      <c r="AG11">
        <v>2.6572127000000001E-2</v>
      </c>
      <c r="AH11">
        <v>1.5409456E-2</v>
      </c>
      <c r="AI11">
        <v>9.3777249999999999E-3</v>
      </c>
      <c r="AJ11">
        <v>9.3950079999999998E-3</v>
      </c>
      <c r="AK11">
        <v>1.3541563E-2</v>
      </c>
      <c r="AL11">
        <v>5.6397651E-2</v>
      </c>
      <c r="AM11">
        <v>4.1527076000000003E-2</v>
      </c>
      <c r="AN11">
        <v>0.117641958</v>
      </c>
      <c r="AO11">
        <v>8.6070592000000001E-2</v>
      </c>
      <c r="AP11">
        <v>1.2724424E-2</v>
      </c>
      <c r="AQ11">
        <v>3.1544903999999999E-2</v>
      </c>
      <c r="AR11">
        <v>9.8095720000000008E-3</v>
      </c>
      <c r="AS11">
        <v>1.2219781000000001E-2</v>
      </c>
      <c r="AT11">
        <v>6.0765599999999999E-3</v>
      </c>
      <c r="AU11">
        <v>1.8751673E-2</v>
      </c>
      <c r="AV11">
        <v>3.7226374999999999E-2</v>
      </c>
      <c r="AW11">
        <v>1.5937257999999999E-2</v>
      </c>
      <c r="AX11">
        <v>4.6115744E-2</v>
      </c>
      <c r="AY11">
        <v>4.179078E-2</v>
      </c>
      <c r="AZ11">
        <v>0.27397423599999998</v>
      </c>
      <c r="BA11">
        <v>0.13985961899999999</v>
      </c>
      <c r="BB11">
        <v>0.10963218</v>
      </c>
      <c r="BC11">
        <v>0.19682124200000001</v>
      </c>
      <c r="BD11">
        <v>0.15206636100000001</v>
      </c>
      <c r="BE11">
        <v>3.2090747000000003E-2</v>
      </c>
      <c r="BF11">
        <v>1.2038462999999999E-2</v>
      </c>
      <c r="BG11">
        <v>6.3709630000000003E-2</v>
      </c>
      <c r="BH11">
        <v>0.13104357899999999</v>
      </c>
      <c r="BI11">
        <v>1.4303718999999999E-2</v>
      </c>
      <c r="BJ11">
        <v>1.6432716999999999E-2</v>
      </c>
      <c r="BK11">
        <v>2.1590358E-2</v>
      </c>
      <c r="BL11">
        <v>4.422156E-2</v>
      </c>
      <c r="BM11">
        <v>3.1957329999999999E-2</v>
      </c>
      <c r="BN11">
        <v>4.0548411999999999E-2</v>
      </c>
      <c r="BO11">
        <v>0.158016291</v>
      </c>
      <c r="BP11">
        <v>0.40547814399999998</v>
      </c>
      <c r="BQ11">
        <v>0.17138564100000001</v>
      </c>
      <c r="BR11">
        <v>0.396621324</v>
      </c>
      <c r="BS11">
        <v>0.21065895800000001</v>
      </c>
      <c r="BT11">
        <v>2.4027376E-2</v>
      </c>
      <c r="BU11">
        <v>0.22496865399999999</v>
      </c>
      <c r="BV11">
        <v>2.0369147000000001E-2</v>
      </c>
      <c r="BW11">
        <v>3.4366278E-2</v>
      </c>
      <c r="BX11">
        <v>2.7784559E-2</v>
      </c>
      <c r="BY11">
        <v>0.138187173</v>
      </c>
      <c r="BZ11">
        <v>0.1387601</v>
      </c>
      <c r="CA11">
        <v>0.14622318200000001</v>
      </c>
      <c r="CB11">
        <v>6.2421512999999998E-2</v>
      </c>
      <c r="CC11">
        <v>0.113263555</v>
      </c>
      <c r="CD11">
        <v>0.270979894</v>
      </c>
      <c r="CE11">
        <v>0.392774648</v>
      </c>
      <c r="CF11">
        <v>0.151600229</v>
      </c>
      <c r="CG11">
        <v>0.106077694</v>
      </c>
      <c r="CH11">
        <v>0.107616243</v>
      </c>
      <c r="CI11">
        <v>0.28781557499999999</v>
      </c>
      <c r="CJ11">
        <v>0.27631878399999998</v>
      </c>
      <c r="CK11">
        <v>0.30607659399999998</v>
      </c>
      <c r="CL11">
        <v>0.36091225300000002</v>
      </c>
      <c r="CM11">
        <v>0.31648757599999999</v>
      </c>
      <c r="CN11">
        <v>0.165058867</v>
      </c>
      <c r="CO11">
        <v>7.5439771000000003E-2</v>
      </c>
      <c r="CP11">
        <v>0.147025029</v>
      </c>
      <c r="CQ11">
        <v>8.8092464999999995E-2</v>
      </c>
      <c r="CR11">
        <v>0.12565270200000001</v>
      </c>
      <c r="CS11">
        <v>0.152545613</v>
      </c>
      <c r="CT11">
        <v>0.15078852400000001</v>
      </c>
      <c r="CU11">
        <v>0.174849281</v>
      </c>
      <c r="CV11">
        <v>0.21469769499999999</v>
      </c>
      <c r="CW11">
        <v>0.14160901100000001</v>
      </c>
    </row>
    <row r="12" spans="1:101" x14ac:dyDescent="0.3">
      <c r="A12" t="s">
        <v>35</v>
      </c>
      <c r="B12">
        <v>1.0742427000000001E-2</v>
      </c>
      <c r="C12">
        <v>6.9118230000000001E-3</v>
      </c>
      <c r="D12">
        <v>7.8950400000000007E-3</v>
      </c>
      <c r="E12">
        <v>8.5926230000000006E-3</v>
      </c>
      <c r="F12">
        <v>8.2441800000000003E-3</v>
      </c>
      <c r="G12">
        <v>4.0608060000000001E-3</v>
      </c>
      <c r="H12">
        <v>9.3727770000000005E-3</v>
      </c>
      <c r="I12">
        <v>5.081403E-3</v>
      </c>
      <c r="J12">
        <v>1.8050989999999999E-3</v>
      </c>
      <c r="K12">
        <v>3.1611439999999998E-3</v>
      </c>
      <c r="L12">
        <v>7.4179750000000003E-3</v>
      </c>
      <c r="M12">
        <v>3.5256250000000001E-3</v>
      </c>
      <c r="N12">
        <v>8.3402249999999997E-3</v>
      </c>
      <c r="O12">
        <v>4.0553810000000003E-3</v>
      </c>
      <c r="P12">
        <v>7.1217479999999998E-3</v>
      </c>
      <c r="Q12">
        <v>6.7634380000000001E-3</v>
      </c>
      <c r="R12">
        <v>2.4694420000000001E-3</v>
      </c>
      <c r="S12">
        <v>7.0109630000000003E-3</v>
      </c>
      <c r="T12">
        <v>7.5204549999999997E-3</v>
      </c>
      <c r="U12">
        <v>7.5803420000000003E-3</v>
      </c>
      <c r="V12">
        <v>4.5415009999999999E-3</v>
      </c>
      <c r="W12">
        <v>6.5575360000000001E-3</v>
      </c>
      <c r="X12">
        <v>3.1193530000000001E-3</v>
      </c>
      <c r="Y12">
        <v>1.4741999999999999E-3</v>
      </c>
      <c r="Z12">
        <v>2.3711119999999999E-3</v>
      </c>
      <c r="AA12">
        <v>3.1650279999999999E-3</v>
      </c>
      <c r="AB12">
        <v>3.2187560000000001E-3</v>
      </c>
      <c r="AC12">
        <v>3.3740480000000002E-3</v>
      </c>
      <c r="AD12">
        <v>4.5599569999999999E-3</v>
      </c>
      <c r="AE12">
        <v>2.5218889999999998E-3</v>
      </c>
      <c r="AF12">
        <v>2.6565320000000001E-3</v>
      </c>
      <c r="AG12">
        <v>2.8264369999999998E-3</v>
      </c>
      <c r="AH12">
        <v>2.57027E-4</v>
      </c>
      <c r="AI12">
        <v>2.2512489999999999E-3</v>
      </c>
      <c r="AJ12">
        <v>3.026744E-3</v>
      </c>
      <c r="AK12">
        <v>2.5753899999999999E-3</v>
      </c>
      <c r="AL12">
        <v>8.9539270000000004E-3</v>
      </c>
      <c r="AM12">
        <v>8.1638399999999997E-4</v>
      </c>
      <c r="AN12">
        <v>1.015148E-3</v>
      </c>
      <c r="AO12">
        <v>1.881481E-3</v>
      </c>
      <c r="AP12">
        <v>1.639026E-3</v>
      </c>
      <c r="AQ12">
        <v>1.147765E-3</v>
      </c>
      <c r="AR12">
        <v>1.012418E-3</v>
      </c>
      <c r="AS12">
        <v>5.8218099999999997E-4</v>
      </c>
      <c r="AT12">
        <v>1.8274020000000001E-3</v>
      </c>
      <c r="AU12">
        <v>1.20353E-3</v>
      </c>
      <c r="AV12">
        <v>1.184507E-3</v>
      </c>
      <c r="AW12">
        <v>1.776873E-3</v>
      </c>
      <c r="AX12">
        <v>5.2170299999999999E-4</v>
      </c>
      <c r="AY12">
        <v>7.3311999999999997E-4</v>
      </c>
      <c r="AZ12">
        <v>1.039077E-3</v>
      </c>
      <c r="BA12">
        <v>9.2629340000000004E-3</v>
      </c>
      <c r="BB12">
        <v>4.3037780000000003E-3</v>
      </c>
      <c r="BC12">
        <v>2.3185950000000001E-3</v>
      </c>
      <c r="BD12">
        <v>9.3437299999999995E-4</v>
      </c>
      <c r="BE12">
        <v>2.006519E-3</v>
      </c>
      <c r="BF12">
        <v>3.8283660000000001E-3</v>
      </c>
      <c r="BG12">
        <v>5.056133E-3</v>
      </c>
      <c r="BH12">
        <v>2.134267E-3</v>
      </c>
      <c r="BI12">
        <v>7.8261960000000005E-3</v>
      </c>
      <c r="BJ12">
        <v>2.2483649000000001E-2</v>
      </c>
      <c r="BK12">
        <v>5.8106269999999996E-3</v>
      </c>
      <c r="BL12">
        <v>2.9037339999999998E-3</v>
      </c>
      <c r="BM12">
        <v>0</v>
      </c>
      <c r="BN12">
        <v>0</v>
      </c>
      <c r="BO12">
        <v>2.2443340000000002E-3</v>
      </c>
      <c r="BP12">
        <v>3.9671769999999997E-3</v>
      </c>
      <c r="BQ12">
        <v>4.6996809999999998E-3</v>
      </c>
      <c r="BR12">
        <v>8.2732159999999999E-3</v>
      </c>
      <c r="BS12">
        <v>5.3494129999999999E-3</v>
      </c>
      <c r="BT12">
        <v>9.1609789999999997E-3</v>
      </c>
      <c r="BU12">
        <v>3.8031979999999998E-3</v>
      </c>
      <c r="BV12">
        <v>5.7598730000000004E-3</v>
      </c>
      <c r="BW12">
        <v>7.516361E-3</v>
      </c>
      <c r="BX12">
        <v>1.7722478E-2</v>
      </c>
      <c r="BY12">
        <v>2.614627E-3</v>
      </c>
      <c r="BZ12">
        <v>0.165370937</v>
      </c>
      <c r="CA12">
        <v>0.120115307</v>
      </c>
      <c r="CB12">
        <v>1.4148699999999999E-3</v>
      </c>
      <c r="CC12">
        <v>7.8548609999999994E-3</v>
      </c>
      <c r="CD12">
        <v>1.800598E-3</v>
      </c>
      <c r="CE12">
        <v>2.5390109999999999E-3</v>
      </c>
      <c r="CF12">
        <v>1.543074E-3</v>
      </c>
      <c r="CG12">
        <v>2.6671996999999999E-2</v>
      </c>
      <c r="CH12">
        <v>6.1769799999999997E-4</v>
      </c>
      <c r="CI12">
        <v>4.9712139999999998E-3</v>
      </c>
      <c r="CJ12">
        <v>2.4400490000000001E-3</v>
      </c>
      <c r="CK12">
        <v>1.9286069999999999E-3</v>
      </c>
      <c r="CL12">
        <v>1.7110280000000001E-3</v>
      </c>
      <c r="CM12">
        <v>1.861208E-3</v>
      </c>
      <c r="CN12">
        <v>9.7050890000000001E-3</v>
      </c>
      <c r="CO12">
        <v>1.3119259999999999E-3</v>
      </c>
      <c r="CP12">
        <v>1.4899970000000001E-3</v>
      </c>
      <c r="CQ12">
        <v>1.106225E-3</v>
      </c>
      <c r="CR12">
        <v>8.9086799999999996E-4</v>
      </c>
      <c r="CS12">
        <v>2.3043170000000002E-3</v>
      </c>
      <c r="CT12">
        <v>1.557147E-3</v>
      </c>
      <c r="CU12">
        <v>4.108296E-3</v>
      </c>
      <c r="CV12">
        <v>3.4090259999999999E-3</v>
      </c>
      <c r="CW12">
        <v>3.9427409999999996E-3</v>
      </c>
    </row>
    <row r="13" spans="1:101" x14ac:dyDescent="0.3">
      <c r="A13" t="s">
        <v>36</v>
      </c>
      <c r="B13">
        <v>0.19453139999999999</v>
      </c>
      <c r="C13">
        <v>0.19719613</v>
      </c>
      <c r="D13">
        <v>0.12671300899999999</v>
      </c>
      <c r="E13">
        <v>0.18134381699999999</v>
      </c>
      <c r="F13">
        <v>0.181279473</v>
      </c>
      <c r="G13">
        <v>0.266836931</v>
      </c>
      <c r="H13">
        <v>0.24337087399999999</v>
      </c>
      <c r="I13">
        <v>0.250523094</v>
      </c>
      <c r="J13">
        <v>0.25397978700000001</v>
      </c>
      <c r="K13">
        <v>0.254501227</v>
      </c>
      <c r="L13">
        <v>0.206959437</v>
      </c>
      <c r="M13">
        <v>0.16895365200000001</v>
      </c>
      <c r="N13">
        <v>0.150348017</v>
      </c>
      <c r="O13">
        <v>0.156566759</v>
      </c>
      <c r="P13">
        <v>0.184277103</v>
      </c>
      <c r="Q13">
        <v>0.21483394</v>
      </c>
      <c r="R13">
        <v>0.27980701499999999</v>
      </c>
      <c r="S13">
        <v>0.28759852899999999</v>
      </c>
      <c r="T13">
        <v>0.24528382500000001</v>
      </c>
      <c r="U13">
        <v>0.14745803199999999</v>
      </c>
      <c r="V13">
        <v>0.21663617299999999</v>
      </c>
      <c r="W13">
        <v>0.206072635</v>
      </c>
      <c r="X13">
        <v>0.18697925800000001</v>
      </c>
      <c r="Y13">
        <v>0.154990867</v>
      </c>
      <c r="Z13">
        <v>0.195255124</v>
      </c>
      <c r="AA13">
        <v>0.19043163299999999</v>
      </c>
      <c r="AB13">
        <v>0.211020704</v>
      </c>
      <c r="AC13">
        <v>0.17568578400000001</v>
      </c>
      <c r="AD13">
        <v>0.1583165</v>
      </c>
      <c r="AE13">
        <v>0.188861583</v>
      </c>
      <c r="AF13">
        <v>0.11224057699999999</v>
      </c>
      <c r="AG13">
        <v>0.143586083</v>
      </c>
      <c r="AH13">
        <v>8.6424589999999996E-2</v>
      </c>
      <c r="AI13">
        <v>8.5057673E-2</v>
      </c>
      <c r="AJ13">
        <v>7.1730954E-2</v>
      </c>
      <c r="AK13">
        <v>0.16594387999999999</v>
      </c>
      <c r="AL13">
        <v>0.19839535599999999</v>
      </c>
      <c r="AM13">
        <v>0.204813829</v>
      </c>
      <c r="AN13">
        <v>0.16154012800000001</v>
      </c>
      <c r="AO13">
        <v>0.15232699399999999</v>
      </c>
      <c r="AP13">
        <v>9.2060964999999995E-2</v>
      </c>
      <c r="AQ13">
        <v>0.102840559</v>
      </c>
      <c r="AR13">
        <v>0.105890106</v>
      </c>
      <c r="AS13">
        <v>0.101599805</v>
      </c>
      <c r="AT13">
        <v>9.3767700999999995E-2</v>
      </c>
      <c r="AU13">
        <v>0.11052221399999999</v>
      </c>
      <c r="AV13">
        <v>0.111695212</v>
      </c>
      <c r="AW13">
        <v>0.13154278899999999</v>
      </c>
      <c r="AX13">
        <v>8.2752302999999999E-2</v>
      </c>
      <c r="AY13">
        <v>8.1840656999999997E-2</v>
      </c>
      <c r="AZ13">
        <v>0.103082012</v>
      </c>
      <c r="BA13">
        <v>0.204354323</v>
      </c>
      <c r="BB13">
        <v>0.21708360099999999</v>
      </c>
      <c r="BC13">
        <v>0.15836355599999999</v>
      </c>
      <c r="BD13">
        <v>0.17153458199999999</v>
      </c>
      <c r="BE13">
        <v>0.278260538</v>
      </c>
      <c r="BF13">
        <v>0.225875929</v>
      </c>
      <c r="BG13">
        <v>0.294861661</v>
      </c>
      <c r="BH13">
        <v>0.29894366700000002</v>
      </c>
      <c r="BI13">
        <v>0.25960620000000001</v>
      </c>
      <c r="BJ13">
        <v>0.18779952</v>
      </c>
      <c r="BK13">
        <v>0.19461315900000001</v>
      </c>
      <c r="BL13">
        <v>0.23248375499999999</v>
      </c>
      <c r="BM13">
        <v>0.18103399100000001</v>
      </c>
      <c r="BN13">
        <v>0.25174546799999997</v>
      </c>
      <c r="BO13">
        <v>0.25669741099999999</v>
      </c>
      <c r="BP13">
        <v>0.19574951500000001</v>
      </c>
      <c r="BQ13">
        <v>0.27952536300000003</v>
      </c>
      <c r="BR13">
        <v>0.209751153</v>
      </c>
      <c r="BS13">
        <v>0.239244966</v>
      </c>
      <c r="BT13">
        <v>0.30213676299999997</v>
      </c>
      <c r="BU13">
        <v>0.20172770800000001</v>
      </c>
      <c r="BV13">
        <v>0.243173787</v>
      </c>
      <c r="BW13">
        <v>0.27614327900000002</v>
      </c>
      <c r="BX13">
        <v>0.173664183</v>
      </c>
      <c r="BY13">
        <v>0.20224841099999999</v>
      </c>
      <c r="BZ13">
        <v>0.16758287299999999</v>
      </c>
      <c r="CA13">
        <v>0.17793235499999999</v>
      </c>
      <c r="CB13">
        <v>0.24519612700000001</v>
      </c>
      <c r="CC13">
        <v>0.21812762299999999</v>
      </c>
      <c r="CD13">
        <v>7.7106415999999997E-2</v>
      </c>
      <c r="CE13">
        <v>7.6539415999999999E-2</v>
      </c>
      <c r="CF13">
        <v>8.7615551999999999E-2</v>
      </c>
      <c r="CG13">
        <v>0.14393692</v>
      </c>
      <c r="CH13">
        <v>7.4256885999999994E-2</v>
      </c>
      <c r="CI13">
        <v>8.3730553999999999E-2</v>
      </c>
      <c r="CJ13">
        <v>0.10767443</v>
      </c>
      <c r="CK13">
        <v>0.104057976</v>
      </c>
      <c r="CL13">
        <v>7.1204464999999995E-2</v>
      </c>
      <c r="CM13">
        <v>8.9778538000000005E-2</v>
      </c>
      <c r="CN13">
        <v>7.8083491000000005E-2</v>
      </c>
      <c r="CO13">
        <v>9.3838107000000004E-2</v>
      </c>
      <c r="CP13">
        <v>8.1242816999999995E-2</v>
      </c>
      <c r="CQ13">
        <v>0.106602419</v>
      </c>
      <c r="CR13">
        <v>7.1049820999999999E-2</v>
      </c>
      <c r="CS13">
        <v>7.9493971999999996E-2</v>
      </c>
      <c r="CT13">
        <v>8.1539610999999998E-2</v>
      </c>
      <c r="CU13">
        <v>7.4707365999999997E-2</v>
      </c>
      <c r="CV13">
        <v>6.6303300999999995E-2</v>
      </c>
      <c r="CW13">
        <v>6.9653549999999995E-2</v>
      </c>
    </row>
    <row r="14" spans="1:101" x14ac:dyDescent="0.3">
      <c r="A14" t="s">
        <v>37</v>
      </c>
      <c r="B14">
        <v>3.46079E-4</v>
      </c>
      <c r="C14">
        <v>3.1346899999999998E-4</v>
      </c>
      <c r="D14">
        <v>2.2476899999999999E-4</v>
      </c>
      <c r="E14">
        <v>4.5741400000000001E-4</v>
      </c>
      <c r="F14">
        <v>4.6399400000000002E-4</v>
      </c>
      <c r="G14">
        <v>5.3313199999999996E-4</v>
      </c>
      <c r="H14">
        <v>5.4039400000000003E-4</v>
      </c>
      <c r="I14">
        <v>6.7440600000000001E-4</v>
      </c>
      <c r="J14">
        <v>1.0951859999999999E-3</v>
      </c>
      <c r="K14">
        <v>1.2284570000000001E-3</v>
      </c>
      <c r="L14">
        <v>2.8132400000000001E-4</v>
      </c>
      <c r="M14">
        <v>7.7612099999999995E-4</v>
      </c>
      <c r="N14">
        <v>5.8773400000000002E-4</v>
      </c>
      <c r="O14">
        <v>9.3172299999999997E-4</v>
      </c>
      <c r="P14">
        <v>7.2539900000000005E-4</v>
      </c>
      <c r="Q14">
        <v>7.33962E-4</v>
      </c>
      <c r="R14">
        <v>7.8574500000000002E-4</v>
      </c>
      <c r="S14">
        <v>1.63598E-3</v>
      </c>
      <c r="T14">
        <v>1.0447950000000001E-3</v>
      </c>
      <c r="U14">
        <v>1.6264199999999999E-3</v>
      </c>
      <c r="V14">
        <v>3.7421329999999999E-3</v>
      </c>
      <c r="W14">
        <v>9.2730600000000003E-4</v>
      </c>
      <c r="X14">
        <v>3.5168130000000001E-3</v>
      </c>
      <c r="Y14">
        <v>1.4241620000000001E-3</v>
      </c>
      <c r="Z14">
        <v>3.33768E-3</v>
      </c>
      <c r="AA14">
        <v>4.1796630000000001E-3</v>
      </c>
      <c r="AB14">
        <v>3.2464809999999998E-3</v>
      </c>
      <c r="AC14">
        <v>4.9457829999999996E-3</v>
      </c>
      <c r="AD14">
        <v>2.8555500000000001E-3</v>
      </c>
      <c r="AE14">
        <v>3.1411989999999999E-3</v>
      </c>
      <c r="AF14">
        <v>6.3049199999999997E-4</v>
      </c>
      <c r="AG14">
        <v>6.2974299999999999E-4</v>
      </c>
      <c r="AH14">
        <v>6.4730899999999999E-4</v>
      </c>
      <c r="AI14">
        <v>1.033782E-3</v>
      </c>
      <c r="AJ14">
        <v>6.2774399999999996E-4</v>
      </c>
      <c r="AK14">
        <v>1.7702709999999999E-3</v>
      </c>
      <c r="AL14">
        <v>8.5539999999999998E-4</v>
      </c>
      <c r="AM14">
        <v>1.629136E-3</v>
      </c>
      <c r="AN14">
        <v>1.5123650000000001E-3</v>
      </c>
      <c r="AO14">
        <v>8.3827900000000004E-4</v>
      </c>
      <c r="AP14">
        <v>7.3480500000000005E-4</v>
      </c>
      <c r="AQ14">
        <v>9.1057300000000002E-4</v>
      </c>
      <c r="AR14">
        <v>1.117341E-3</v>
      </c>
      <c r="AS14">
        <v>1.147868E-3</v>
      </c>
      <c r="AT14">
        <v>5.8132599999999996E-4</v>
      </c>
      <c r="AU14">
        <v>1.0437840000000001E-3</v>
      </c>
      <c r="AV14">
        <v>1.321305E-3</v>
      </c>
      <c r="AW14">
        <v>9.9946900000000001E-4</v>
      </c>
      <c r="AX14">
        <v>1.463485E-3</v>
      </c>
      <c r="AY14">
        <v>1.37853E-3</v>
      </c>
      <c r="AZ14">
        <v>1.354788E-3</v>
      </c>
      <c r="BA14">
        <v>2.8952299999999999E-3</v>
      </c>
      <c r="BB14">
        <v>1.7289390000000001E-3</v>
      </c>
      <c r="BC14">
        <v>1.663461E-3</v>
      </c>
      <c r="BD14">
        <v>2.7932260000000002E-3</v>
      </c>
      <c r="BE14">
        <v>2.3628329999999999E-3</v>
      </c>
      <c r="BF14">
        <v>1.0443099999999999E-3</v>
      </c>
      <c r="BG14">
        <v>9.0556299999999996E-4</v>
      </c>
      <c r="BH14">
        <v>2.594121E-3</v>
      </c>
      <c r="BI14">
        <v>1.4855179999999999E-3</v>
      </c>
      <c r="BJ14">
        <v>4.44141E-4</v>
      </c>
      <c r="BK14">
        <v>6.80899E-4</v>
      </c>
      <c r="BL14">
        <v>1.058048E-3</v>
      </c>
      <c r="BM14">
        <v>1.16574E-3</v>
      </c>
      <c r="BN14">
        <v>1.9409340000000001E-3</v>
      </c>
      <c r="BO14">
        <v>3.6849270000000002E-3</v>
      </c>
      <c r="BP14">
        <v>2.0407110000000002E-3</v>
      </c>
      <c r="BQ14">
        <v>2.1988839999999999E-3</v>
      </c>
      <c r="BR14">
        <v>1.6563280000000001E-3</v>
      </c>
      <c r="BS14">
        <v>2.4086749999999999E-3</v>
      </c>
      <c r="BT14">
        <v>4.2608949999999998E-3</v>
      </c>
      <c r="BU14">
        <v>1.6568920000000001E-3</v>
      </c>
      <c r="BV14">
        <v>3.4935650000000001E-3</v>
      </c>
      <c r="BW14">
        <v>4.7109700000000001E-3</v>
      </c>
      <c r="BX14">
        <v>9.61734E-4</v>
      </c>
      <c r="BY14">
        <v>3.4158169999999998E-3</v>
      </c>
      <c r="BZ14">
        <v>2.1329629999999999E-3</v>
      </c>
      <c r="CA14">
        <v>2.1395960000000001E-3</v>
      </c>
      <c r="CB14">
        <v>4.9634700000000002E-3</v>
      </c>
      <c r="CC14">
        <v>5.5955859999999996E-3</v>
      </c>
      <c r="CD14">
        <v>7.1871399999999996E-4</v>
      </c>
      <c r="CE14">
        <v>4.59703E-4</v>
      </c>
      <c r="CF14">
        <v>7.4503000000000004E-4</v>
      </c>
      <c r="CG14">
        <v>2.1637219999999999E-3</v>
      </c>
      <c r="CH14">
        <v>7.7815399999999998E-4</v>
      </c>
      <c r="CI14">
        <v>1.3357429999999999E-3</v>
      </c>
      <c r="CJ14">
        <v>1.0390810000000001E-3</v>
      </c>
      <c r="CK14">
        <v>7.2873700000000003E-4</v>
      </c>
      <c r="CL14">
        <v>4.93678E-4</v>
      </c>
      <c r="CM14">
        <v>6.6405499999999998E-4</v>
      </c>
      <c r="CN14">
        <v>5.71971E-4</v>
      </c>
      <c r="CO14">
        <v>1.6602469999999999E-3</v>
      </c>
      <c r="CP14">
        <v>9.5618099999999996E-4</v>
      </c>
      <c r="CQ14">
        <v>1.685394E-3</v>
      </c>
      <c r="CR14">
        <v>8.1748699999999999E-4</v>
      </c>
      <c r="CS14">
        <v>1.491231E-3</v>
      </c>
      <c r="CT14">
        <v>1.4319420000000001E-3</v>
      </c>
      <c r="CU14">
        <v>9.5295999999999998E-4</v>
      </c>
      <c r="CV14">
        <v>9.5514600000000003E-4</v>
      </c>
      <c r="CW14">
        <v>8.2571399999999996E-4</v>
      </c>
    </row>
    <row r="15" spans="1:101" x14ac:dyDescent="0.3">
      <c r="A15" t="s">
        <v>38</v>
      </c>
      <c r="B15">
        <v>0.110877216</v>
      </c>
      <c r="C15">
        <v>0.102754425</v>
      </c>
      <c r="D15">
        <v>7.9972531999999999E-2</v>
      </c>
      <c r="E15">
        <v>0.107497118</v>
      </c>
      <c r="F15">
        <v>0.11496694</v>
      </c>
      <c r="G15">
        <v>7.9946869000000004E-2</v>
      </c>
      <c r="H15">
        <v>7.9574007000000002E-2</v>
      </c>
      <c r="I15">
        <v>5.8519811999999997E-2</v>
      </c>
      <c r="J15">
        <v>6.0773449E-2</v>
      </c>
      <c r="K15">
        <v>5.0619530000000003E-2</v>
      </c>
      <c r="L15">
        <v>4.3305940000000001E-2</v>
      </c>
      <c r="M15">
        <v>5.5196111999999999E-2</v>
      </c>
      <c r="N15">
        <v>0.122044745</v>
      </c>
      <c r="O15">
        <v>8.0929617999999995E-2</v>
      </c>
      <c r="P15">
        <v>5.8040761000000003E-2</v>
      </c>
      <c r="Q15">
        <v>9.7196367000000006E-2</v>
      </c>
      <c r="R15">
        <v>1.7225843000000001E-2</v>
      </c>
      <c r="S15">
        <v>6.6205955999999996E-2</v>
      </c>
      <c r="T15">
        <v>6.0505752000000003E-2</v>
      </c>
      <c r="U15">
        <v>7.1604640999999997E-2</v>
      </c>
      <c r="V15">
        <v>4.8669797000000001E-2</v>
      </c>
      <c r="W15">
        <v>0.192857895</v>
      </c>
      <c r="X15">
        <v>7.1575608999999998E-2</v>
      </c>
      <c r="Y15">
        <v>4.8995362000000001E-2</v>
      </c>
      <c r="Z15">
        <v>6.8207599999999993E-2</v>
      </c>
      <c r="AA15">
        <v>0.109583342</v>
      </c>
      <c r="AB15">
        <v>9.7201782E-2</v>
      </c>
      <c r="AC15">
        <v>0.10737334900000001</v>
      </c>
      <c r="AD15">
        <v>0.22944263100000001</v>
      </c>
      <c r="AE15">
        <v>0.15531927400000001</v>
      </c>
      <c r="AF15">
        <v>4.4085586000000003E-2</v>
      </c>
      <c r="AG15">
        <v>5.0032689999999998E-2</v>
      </c>
      <c r="AH15">
        <v>3.3989503999999997E-2</v>
      </c>
      <c r="AI15">
        <v>5.0147743000000002E-2</v>
      </c>
      <c r="AJ15">
        <v>7.0161314000000002E-2</v>
      </c>
      <c r="AK15">
        <v>0.118619103</v>
      </c>
      <c r="AL15">
        <v>0.140602277</v>
      </c>
      <c r="AM15">
        <v>4.3399437999999999E-2</v>
      </c>
      <c r="AN15">
        <v>1.8030491999999999E-2</v>
      </c>
      <c r="AO15">
        <v>4.7188581E-2</v>
      </c>
      <c r="AP15">
        <v>4.0860368000000001E-2</v>
      </c>
      <c r="AQ15">
        <v>1.841278E-2</v>
      </c>
      <c r="AR15">
        <v>2.2566539E-2</v>
      </c>
      <c r="AS15">
        <v>1.8793153999999999E-2</v>
      </c>
      <c r="AT15">
        <v>8.6102609999999996E-2</v>
      </c>
      <c r="AU15">
        <v>2.7498791000000002E-2</v>
      </c>
      <c r="AV15">
        <v>1.470897E-2</v>
      </c>
      <c r="AW15">
        <v>5.5430383E-2</v>
      </c>
      <c r="AX15">
        <v>1.263709E-2</v>
      </c>
      <c r="AY15">
        <v>1.265457E-2</v>
      </c>
      <c r="AZ15">
        <v>1.9038342999999999E-2</v>
      </c>
      <c r="BA15">
        <v>1.9374766000000002E-2</v>
      </c>
      <c r="BB15">
        <v>2.9021334999999999E-2</v>
      </c>
      <c r="BC15">
        <v>3.1250486000000001E-2</v>
      </c>
      <c r="BD15">
        <v>3.1789584000000003E-2</v>
      </c>
      <c r="BE15">
        <v>7.4427600999999996E-2</v>
      </c>
      <c r="BF15">
        <v>0.14348671900000001</v>
      </c>
      <c r="BG15">
        <v>5.2947147999999999E-2</v>
      </c>
      <c r="BH15">
        <v>1.6003534E-2</v>
      </c>
      <c r="BI15">
        <v>8.5398609E-2</v>
      </c>
      <c r="BJ15">
        <v>8.0319455999999997E-2</v>
      </c>
      <c r="BK15">
        <v>3.8987735000000003E-2</v>
      </c>
      <c r="BL15">
        <v>2.3155977000000001E-2</v>
      </c>
      <c r="BM15">
        <v>8.8059848999999996E-2</v>
      </c>
      <c r="BN15">
        <v>1.9988899000000001E-2</v>
      </c>
      <c r="BO15">
        <v>2.5641440000000001E-2</v>
      </c>
      <c r="BP15">
        <v>2.1205042E-2</v>
      </c>
      <c r="BQ15">
        <v>3.4112591999999997E-2</v>
      </c>
      <c r="BR15">
        <v>1.3669404E-2</v>
      </c>
      <c r="BS15">
        <v>4.5334661999999998E-2</v>
      </c>
      <c r="BT15">
        <v>1.5672179000000001E-2</v>
      </c>
      <c r="BU15">
        <v>7.3217439999999998E-3</v>
      </c>
      <c r="BV15">
        <v>0.110488689</v>
      </c>
      <c r="BW15">
        <v>1.5617120999999999E-2</v>
      </c>
      <c r="BX15">
        <v>4.0731082000000002E-2</v>
      </c>
      <c r="BY15">
        <v>1.0055744E-2</v>
      </c>
      <c r="BZ15">
        <v>1.0639117E-2</v>
      </c>
      <c r="CA15">
        <v>1.1014295E-2</v>
      </c>
      <c r="CB15">
        <v>1.9025087E-2</v>
      </c>
      <c r="CC15">
        <v>3.0121601000000001E-2</v>
      </c>
      <c r="CD15">
        <v>4.336014E-3</v>
      </c>
      <c r="CE15">
        <v>1.986387E-3</v>
      </c>
      <c r="CF15">
        <v>1.5996903E-2</v>
      </c>
      <c r="CG15">
        <v>2.7659723000000001E-2</v>
      </c>
      <c r="CH15">
        <v>5.4228949999999996E-3</v>
      </c>
      <c r="CI15">
        <v>2.2432620000000002E-3</v>
      </c>
      <c r="CJ15">
        <v>2.1731649999999999E-3</v>
      </c>
      <c r="CK15">
        <v>2.633041E-3</v>
      </c>
      <c r="CL15">
        <v>2.6758509999999999E-3</v>
      </c>
      <c r="CM15">
        <v>2.0528970000000001E-3</v>
      </c>
      <c r="CN15">
        <v>4.1874529999999998E-3</v>
      </c>
      <c r="CO15">
        <v>9.9872610000000007E-3</v>
      </c>
      <c r="CP15">
        <v>5.307684E-3</v>
      </c>
      <c r="CQ15">
        <v>6.8325130000000001E-3</v>
      </c>
      <c r="CR15">
        <v>1.7412739999999999E-3</v>
      </c>
      <c r="CS15">
        <v>3.9056149999999999E-3</v>
      </c>
      <c r="CT15">
        <v>3.9600929999999996E-3</v>
      </c>
      <c r="CU15">
        <v>2.9070910000000001E-3</v>
      </c>
      <c r="CV15">
        <v>3.5367710000000002E-3</v>
      </c>
      <c r="CW15">
        <v>2.2836110000000001E-3</v>
      </c>
    </row>
    <row r="16" spans="1:101" x14ac:dyDescent="0.3">
      <c r="A16" t="s">
        <v>39</v>
      </c>
      <c r="B16">
        <v>0</v>
      </c>
      <c r="C16">
        <v>0</v>
      </c>
      <c r="D16">
        <v>3.5460899999999998E-4</v>
      </c>
      <c r="E16">
        <v>0</v>
      </c>
      <c r="F16">
        <v>0</v>
      </c>
      <c r="G16">
        <v>1.718E-4</v>
      </c>
      <c r="H16">
        <v>0</v>
      </c>
      <c r="I16">
        <v>0</v>
      </c>
      <c r="J16">
        <v>0</v>
      </c>
      <c r="K16">
        <v>0</v>
      </c>
      <c r="L16">
        <v>0</v>
      </c>
      <c r="M16">
        <v>3.1729700000000002E-4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3.4208749999999999E-3</v>
      </c>
      <c r="Y16">
        <v>7.6541599999999999E-4</v>
      </c>
      <c r="Z16">
        <v>4.3209140000000004E-3</v>
      </c>
      <c r="AA16">
        <v>2.4051699999999999E-4</v>
      </c>
      <c r="AB16">
        <v>1.743002E-3</v>
      </c>
      <c r="AC16">
        <v>0</v>
      </c>
      <c r="AD16">
        <v>0</v>
      </c>
      <c r="AE16">
        <v>0</v>
      </c>
      <c r="AF16" s="1">
        <v>1.9300000000000002E-5</v>
      </c>
      <c r="AG16" s="1">
        <v>2.3499999999999999E-5</v>
      </c>
      <c r="AH16">
        <v>0</v>
      </c>
      <c r="AI16">
        <v>0</v>
      </c>
      <c r="AJ16">
        <v>0</v>
      </c>
      <c r="AK16">
        <v>0</v>
      </c>
      <c r="AL16">
        <v>1.51452E-4</v>
      </c>
      <c r="AM16">
        <v>5.7877199999999997E-4</v>
      </c>
      <c r="AN16">
        <v>3.4902370000000002E-3</v>
      </c>
      <c r="AO16">
        <v>1.3765000000000001E-4</v>
      </c>
      <c r="AP16" s="1">
        <v>4.4199999999999997E-5</v>
      </c>
      <c r="AQ16">
        <v>1.13124E-4</v>
      </c>
      <c r="AR16" s="1">
        <v>2.5700000000000001E-5</v>
      </c>
      <c r="AS16">
        <v>0</v>
      </c>
      <c r="AT16">
        <v>0</v>
      </c>
      <c r="AU16">
        <v>0</v>
      </c>
      <c r="AV16">
        <v>1.8758100000000001E-4</v>
      </c>
      <c r="AW16">
        <v>0</v>
      </c>
      <c r="AX16">
        <v>1.3737100000000001E-4</v>
      </c>
      <c r="AY16">
        <v>2.0823E-4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8.1956399999999995E-4</v>
      </c>
      <c r="BV16">
        <v>0</v>
      </c>
      <c r="BW16">
        <v>0</v>
      </c>
      <c r="BX16">
        <v>0</v>
      </c>
      <c r="BY16">
        <v>2.0578229999999999E-3</v>
      </c>
      <c r="BZ16">
        <v>7.6193799999999998E-4</v>
      </c>
      <c r="CA16">
        <v>9.9485200000000006E-4</v>
      </c>
      <c r="CB16">
        <v>2.1964509999999999E-3</v>
      </c>
      <c r="CC16">
        <v>2.6290100000000001E-4</v>
      </c>
      <c r="CD16">
        <v>2.4998849999999999E-3</v>
      </c>
      <c r="CE16">
        <v>5.4502159999999999E-3</v>
      </c>
      <c r="CF16" s="1">
        <v>9.1500000000000001E-5</v>
      </c>
      <c r="CG16">
        <v>0</v>
      </c>
      <c r="CH16" s="1">
        <v>3.9700000000000003E-5</v>
      </c>
      <c r="CI16">
        <v>2.5737063000000001E-2</v>
      </c>
      <c r="CJ16">
        <v>9.5498609999999998E-3</v>
      </c>
      <c r="CK16">
        <v>2.6036549999999999E-3</v>
      </c>
      <c r="CL16">
        <v>7.638644E-3</v>
      </c>
      <c r="CM16">
        <v>6.5036249999999999E-3</v>
      </c>
      <c r="CN16">
        <v>1.185006E-3</v>
      </c>
      <c r="CO16">
        <v>1.2429439999999999E-3</v>
      </c>
      <c r="CP16">
        <v>1.21618E-4</v>
      </c>
      <c r="CQ16">
        <v>5.1213500000000004E-4</v>
      </c>
      <c r="CR16">
        <v>1.917225E-3</v>
      </c>
      <c r="CS16">
        <v>5.9740499999999996E-4</v>
      </c>
      <c r="CT16">
        <v>5.4153800000000005E-4</v>
      </c>
      <c r="CU16">
        <v>1.1659109999999999E-3</v>
      </c>
      <c r="CV16">
        <v>3.6518E-4</v>
      </c>
      <c r="CW16">
        <v>1.202212E-3</v>
      </c>
    </row>
    <row r="17" spans="1:101" x14ac:dyDescent="0.3">
      <c r="A17" t="s">
        <v>40</v>
      </c>
      <c r="B17">
        <v>3.2307000000000001E-4</v>
      </c>
      <c r="C17">
        <v>3.97107E-4</v>
      </c>
      <c r="D17">
        <v>1.1001999999999999E-4</v>
      </c>
      <c r="E17">
        <v>2.9834399999999997E-4</v>
      </c>
      <c r="F17">
        <v>4.3134199999999998E-4</v>
      </c>
      <c r="G17">
        <v>2.2266899999999999E-4</v>
      </c>
      <c r="H17">
        <v>2.30256E-4</v>
      </c>
      <c r="I17">
        <v>0</v>
      </c>
      <c r="J17">
        <v>0</v>
      </c>
      <c r="K17">
        <v>2.06975E-4</v>
      </c>
      <c r="L17">
        <v>3.7382399999999998E-4</v>
      </c>
      <c r="M17">
        <v>7.4146200000000002E-4</v>
      </c>
      <c r="N17">
        <v>1.1094970000000001E-3</v>
      </c>
      <c r="O17">
        <v>1.1282919999999999E-3</v>
      </c>
      <c r="P17">
        <v>5.9965300000000001E-4</v>
      </c>
      <c r="Q17">
        <v>4.84616E-4</v>
      </c>
      <c r="R17" s="1">
        <v>9.0299999999999999E-5</v>
      </c>
      <c r="S17">
        <v>6.75473E-4</v>
      </c>
      <c r="T17">
        <v>4.0361599999999998E-4</v>
      </c>
      <c r="U17">
        <v>3.0958199999999998E-4</v>
      </c>
      <c r="V17">
        <v>7.3926600000000003E-4</v>
      </c>
      <c r="W17">
        <v>7.5340400000000005E-4</v>
      </c>
      <c r="X17">
        <v>6.7140199999999998E-4</v>
      </c>
      <c r="Y17">
        <v>3.6249699999999998E-4</v>
      </c>
      <c r="Z17">
        <v>5.4923899999999998E-4</v>
      </c>
      <c r="AA17">
        <v>6.5543600000000002E-4</v>
      </c>
      <c r="AB17">
        <v>5.4609799999999996E-4</v>
      </c>
      <c r="AC17">
        <v>6.6473900000000002E-4</v>
      </c>
      <c r="AD17">
        <v>7.7225199999999996E-4</v>
      </c>
      <c r="AE17">
        <v>1.0477570000000001E-3</v>
      </c>
      <c r="AF17">
        <v>6.8629599999999998E-4</v>
      </c>
      <c r="AG17">
        <v>1.530722E-3</v>
      </c>
      <c r="AH17">
        <v>1.4568949999999999E-3</v>
      </c>
      <c r="AI17">
        <v>1.736221E-3</v>
      </c>
      <c r="AJ17">
        <v>2.4952170000000001E-3</v>
      </c>
      <c r="AK17">
        <v>3.1577929999999999E-3</v>
      </c>
      <c r="AL17">
        <v>1.681E-3</v>
      </c>
      <c r="AM17">
        <v>1.590745E-3</v>
      </c>
      <c r="AN17">
        <v>1.028688E-3</v>
      </c>
      <c r="AO17">
        <v>1.500396E-3</v>
      </c>
      <c r="AP17">
        <v>1.2345349999999999E-3</v>
      </c>
      <c r="AQ17">
        <v>1.1420460000000001E-3</v>
      </c>
      <c r="AR17">
        <v>1.0552140000000001E-3</v>
      </c>
      <c r="AS17">
        <v>1.236619E-3</v>
      </c>
      <c r="AT17">
        <v>1.751643E-3</v>
      </c>
      <c r="AU17">
        <v>1.276894E-3</v>
      </c>
      <c r="AV17">
        <v>1.115137E-3</v>
      </c>
      <c r="AW17">
        <v>1.786604E-3</v>
      </c>
      <c r="AX17">
        <v>1.029533E-3</v>
      </c>
      <c r="AY17">
        <v>1.003248E-3</v>
      </c>
      <c r="AZ17">
        <v>1.6978300000000001E-4</v>
      </c>
      <c r="BA17">
        <v>4.4524300000000001E-4</v>
      </c>
      <c r="BB17">
        <v>3.6228299999999997E-4</v>
      </c>
      <c r="BC17">
        <v>2.5317500000000001E-4</v>
      </c>
      <c r="BD17">
        <v>2.59165E-4</v>
      </c>
      <c r="BE17">
        <v>1.6309199999999999E-4</v>
      </c>
      <c r="BF17">
        <v>1.0616999999999999E-4</v>
      </c>
      <c r="BG17" s="1">
        <v>9.9199999999999999E-5</v>
      </c>
      <c r="BH17">
        <v>1.2935999999999999E-4</v>
      </c>
      <c r="BI17">
        <v>4.37737E-4</v>
      </c>
      <c r="BJ17">
        <v>7.5469700000000003E-4</v>
      </c>
      <c r="BK17">
        <v>1.0322599999999999E-3</v>
      </c>
      <c r="BL17">
        <v>7.1818700000000001E-4</v>
      </c>
      <c r="BM17">
        <v>9.60611E-4</v>
      </c>
      <c r="BN17">
        <v>3.3105800000000001E-4</v>
      </c>
      <c r="BO17">
        <v>3.7033699999999999E-4</v>
      </c>
      <c r="BP17">
        <v>1.9858399999999999E-4</v>
      </c>
      <c r="BQ17">
        <v>1.72671E-4</v>
      </c>
      <c r="BR17">
        <v>1.7118299999999999E-4</v>
      </c>
      <c r="BS17">
        <v>2.6994900000000001E-4</v>
      </c>
      <c r="BT17">
        <v>1.127875E-3</v>
      </c>
      <c r="BU17">
        <v>2.28545E-4</v>
      </c>
      <c r="BV17">
        <v>6.31355E-4</v>
      </c>
      <c r="BW17">
        <v>1.150463E-3</v>
      </c>
      <c r="BX17">
        <v>1.003351E-3</v>
      </c>
      <c r="BY17">
        <v>4.4973700000000002E-4</v>
      </c>
      <c r="BZ17">
        <v>3.2642199999999999E-4</v>
      </c>
      <c r="CA17">
        <v>3.6728200000000003E-4</v>
      </c>
      <c r="CB17">
        <v>4.5105699999999999E-4</v>
      </c>
      <c r="CC17">
        <v>3.59255E-4</v>
      </c>
      <c r="CD17">
        <v>8.2785900000000002E-4</v>
      </c>
      <c r="CE17">
        <v>7.5019300000000002E-4</v>
      </c>
      <c r="CF17">
        <v>8.3863999999999998E-4</v>
      </c>
      <c r="CG17">
        <v>1.1574619999999999E-3</v>
      </c>
      <c r="CH17">
        <v>7.5198599999999995E-4</v>
      </c>
      <c r="CI17">
        <v>6.6971900000000004E-4</v>
      </c>
      <c r="CJ17">
        <v>8.1488700000000003E-4</v>
      </c>
      <c r="CK17">
        <v>8.2226599999999999E-4</v>
      </c>
      <c r="CL17">
        <v>6.9614600000000003E-4</v>
      </c>
      <c r="CM17">
        <v>7.0133000000000001E-4</v>
      </c>
      <c r="CN17">
        <v>8.7096000000000005E-4</v>
      </c>
      <c r="CO17">
        <v>8.1503900000000004E-4</v>
      </c>
      <c r="CP17">
        <v>5.8681900000000003E-4</v>
      </c>
      <c r="CQ17">
        <v>9.7153799999999998E-4</v>
      </c>
      <c r="CR17">
        <v>7.5050699999999998E-4</v>
      </c>
      <c r="CS17">
        <v>9.6676300000000004E-4</v>
      </c>
      <c r="CT17">
        <v>1.0057779999999999E-3</v>
      </c>
      <c r="CU17">
        <v>7.78548E-4</v>
      </c>
      <c r="CV17">
        <v>4.3595500000000002E-4</v>
      </c>
      <c r="CW17">
        <v>6.5068799999999996E-4</v>
      </c>
    </row>
    <row r="18" spans="1:101" x14ac:dyDescent="0.3">
      <c r="A18" t="s">
        <v>41</v>
      </c>
      <c r="B18">
        <v>8.8370959999999991E-3</v>
      </c>
      <c r="C18">
        <v>8.7531480000000005E-3</v>
      </c>
      <c r="D18">
        <v>7.5109030000000002E-3</v>
      </c>
      <c r="E18">
        <v>9.4708710000000005E-3</v>
      </c>
      <c r="F18">
        <v>1.1259617E-2</v>
      </c>
      <c r="G18">
        <v>2.103808E-3</v>
      </c>
      <c r="H18">
        <v>1.0386060000000001E-3</v>
      </c>
      <c r="I18">
        <v>2.0393479999999999E-3</v>
      </c>
      <c r="J18">
        <v>1.0851630000000001E-3</v>
      </c>
      <c r="K18">
        <v>1.2718709999999999E-3</v>
      </c>
      <c r="L18">
        <v>1.0722990000000001E-3</v>
      </c>
      <c r="M18">
        <v>9.8597500000000005E-4</v>
      </c>
      <c r="N18">
        <v>2.4347430000000001E-3</v>
      </c>
      <c r="O18">
        <v>1.900781E-3</v>
      </c>
      <c r="P18">
        <v>1.2712800000000001E-3</v>
      </c>
      <c r="Q18">
        <v>2.3734239999999998E-3</v>
      </c>
      <c r="R18">
        <v>5.6094200000000004E-4</v>
      </c>
      <c r="S18">
        <v>1.439833E-3</v>
      </c>
      <c r="T18">
        <v>1.9890910000000001E-3</v>
      </c>
      <c r="U18">
        <v>4.2977639999999999E-3</v>
      </c>
      <c r="V18">
        <v>2.970912E-3</v>
      </c>
      <c r="W18">
        <v>2.1143389999999998E-3</v>
      </c>
      <c r="X18">
        <v>4.43294E-4</v>
      </c>
      <c r="Y18">
        <v>4.4754300000000001E-4</v>
      </c>
      <c r="Z18">
        <v>5.0476700000000004E-4</v>
      </c>
      <c r="AA18">
        <v>1.0283623E-2</v>
      </c>
      <c r="AB18">
        <v>2.2991029999999998E-3</v>
      </c>
      <c r="AC18">
        <v>5.1260330000000003E-3</v>
      </c>
      <c r="AD18">
        <v>1.541206E-3</v>
      </c>
      <c r="AE18">
        <v>1.0219093E-2</v>
      </c>
      <c r="AF18">
        <v>2.0517339999999999E-3</v>
      </c>
      <c r="AG18">
        <v>6.09244E-4</v>
      </c>
      <c r="AH18">
        <v>2.1235399999999999E-4</v>
      </c>
      <c r="AI18">
        <v>1.3746940000000001E-3</v>
      </c>
      <c r="AJ18">
        <v>3.96084E-4</v>
      </c>
      <c r="AK18">
        <v>6.0345099999999997E-4</v>
      </c>
      <c r="AL18">
        <v>4.6850199999999998E-4</v>
      </c>
      <c r="AM18">
        <v>3.7433399999999998E-4</v>
      </c>
      <c r="AN18">
        <v>1.07637E-4</v>
      </c>
      <c r="AO18">
        <v>4.8345000000000001E-4</v>
      </c>
      <c r="AP18">
        <v>2.1210099999999999E-4</v>
      </c>
      <c r="AQ18">
        <v>3.8525300000000001E-4</v>
      </c>
      <c r="AR18">
        <v>5.7381299999999995E-4</v>
      </c>
      <c r="AS18">
        <v>3.8624800000000001E-4</v>
      </c>
      <c r="AT18">
        <v>1.2074919999999999E-3</v>
      </c>
      <c r="AU18">
        <v>7.7436300000000003E-4</v>
      </c>
      <c r="AV18">
        <v>5.8144499999999999E-4</v>
      </c>
      <c r="AW18">
        <v>7.0817600000000003E-4</v>
      </c>
      <c r="AX18">
        <v>4.2070699999999998E-4</v>
      </c>
      <c r="AY18">
        <v>3.6005500000000002E-4</v>
      </c>
      <c r="AZ18">
        <v>5.8985000000000005E-4</v>
      </c>
      <c r="BA18">
        <v>2.1863249999999998E-3</v>
      </c>
      <c r="BB18">
        <v>7.9819199999999998E-4</v>
      </c>
      <c r="BC18">
        <v>8.0249399999999995E-4</v>
      </c>
      <c r="BD18">
        <v>1.46531E-3</v>
      </c>
      <c r="BE18">
        <v>6.8783799999999997E-4</v>
      </c>
      <c r="BF18">
        <v>8.9204900000000001E-4</v>
      </c>
      <c r="BG18">
        <v>1.5151839999999999E-3</v>
      </c>
      <c r="BH18">
        <v>4.1652699999999998E-4</v>
      </c>
      <c r="BI18">
        <v>1.4641649999999999E-3</v>
      </c>
      <c r="BJ18">
        <v>8.8522999999999998E-4</v>
      </c>
      <c r="BK18">
        <v>8.4321699999999995E-4</v>
      </c>
      <c r="BL18">
        <v>5.13303E-4</v>
      </c>
      <c r="BM18">
        <v>1.8114139999999999E-3</v>
      </c>
      <c r="BN18">
        <v>3.8595699999999998E-4</v>
      </c>
      <c r="BO18">
        <v>7.0475400000000004E-4</v>
      </c>
      <c r="BP18">
        <v>3.2671700000000002E-4</v>
      </c>
      <c r="BQ18">
        <v>7.0634400000000003E-4</v>
      </c>
      <c r="BR18">
        <v>6.2120800000000005E-4</v>
      </c>
      <c r="BS18">
        <v>7.6333399999999995E-4</v>
      </c>
      <c r="BT18">
        <v>9.1615900000000005E-4</v>
      </c>
      <c r="BU18">
        <v>2.81427E-4</v>
      </c>
      <c r="BV18">
        <v>3.7421139999999999E-3</v>
      </c>
      <c r="BW18">
        <v>8.7023299999999999E-4</v>
      </c>
      <c r="BX18">
        <v>7.5921500000000004E-4</v>
      </c>
      <c r="BY18">
        <v>1.2179109999999999E-3</v>
      </c>
      <c r="BZ18">
        <v>1.6640789999999999E-3</v>
      </c>
      <c r="CA18">
        <v>1.543549E-3</v>
      </c>
      <c r="CB18">
        <v>5.3121610000000001E-3</v>
      </c>
      <c r="CC18">
        <v>2.0596799999999999E-3</v>
      </c>
      <c r="CD18">
        <v>1.4511799999999999E-4</v>
      </c>
      <c r="CE18" s="1">
        <v>9.2399999999999996E-5</v>
      </c>
      <c r="CF18">
        <v>2.8503900000000001E-4</v>
      </c>
      <c r="CG18">
        <v>4.2557599999999999E-4</v>
      </c>
      <c r="CH18">
        <v>1.84351E-4</v>
      </c>
      <c r="CI18">
        <v>1.3812699999999999E-4</v>
      </c>
      <c r="CJ18">
        <v>1.48379E-4</v>
      </c>
      <c r="CK18">
        <v>1.95169E-4</v>
      </c>
      <c r="CL18" s="1">
        <v>6.4599999999999998E-5</v>
      </c>
      <c r="CM18" s="1">
        <v>8.8399999999999994E-5</v>
      </c>
      <c r="CN18">
        <v>2.21098E-4</v>
      </c>
      <c r="CO18">
        <v>3.1607599999999999E-4</v>
      </c>
      <c r="CP18">
        <v>1.87505E-4</v>
      </c>
      <c r="CQ18">
        <v>4.78574E-4</v>
      </c>
      <c r="CR18">
        <v>3.3944699999999999E-4</v>
      </c>
      <c r="CS18">
        <v>2.40258E-4</v>
      </c>
      <c r="CT18">
        <v>2.541E-4</v>
      </c>
      <c r="CU18">
        <v>1.4750700000000001E-4</v>
      </c>
      <c r="CV18" s="1">
        <v>8.2799999999999993E-5</v>
      </c>
      <c r="CW18">
        <v>1.18397E-4</v>
      </c>
    </row>
    <row r="19" spans="1:101" x14ac:dyDescent="0.3">
      <c r="A19" t="s">
        <v>42</v>
      </c>
      <c r="B19">
        <v>3.0568899999999999E-4</v>
      </c>
      <c r="C19">
        <v>3.0130700000000001E-4</v>
      </c>
      <c r="D19">
        <v>2.18023E-4</v>
      </c>
      <c r="E19">
        <v>2.06672E-4</v>
      </c>
      <c r="F19">
        <v>2.2048400000000001E-4</v>
      </c>
      <c r="G19">
        <v>5.1625900000000003E-4</v>
      </c>
      <c r="H19">
        <v>3.8068299999999999E-4</v>
      </c>
      <c r="I19">
        <v>2.1028799999999999E-4</v>
      </c>
      <c r="J19">
        <v>3.3754599999999998E-4</v>
      </c>
      <c r="K19">
        <v>4.0014299999999999E-4</v>
      </c>
      <c r="L19">
        <v>6.4989400000000004E-4</v>
      </c>
      <c r="M19">
        <v>8.0080199999999998E-4</v>
      </c>
      <c r="N19">
        <v>2.26319E-4</v>
      </c>
      <c r="O19">
        <v>1.31965E-4</v>
      </c>
      <c r="P19">
        <v>3.15543E-4</v>
      </c>
      <c r="Q19">
        <v>3.8660499999999999E-4</v>
      </c>
      <c r="R19">
        <v>1.5040170000000001E-3</v>
      </c>
      <c r="S19">
        <v>8.0581100000000003E-4</v>
      </c>
      <c r="T19">
        <v>1.2160129999999999E-3</v>
      </c>
      <c r="U19">
        <v>1.197011E-3</v>
      </c>
      <c r="V19">
        <v>6.8747399999999998E-4</v>
      </c>
      <c r="W19">
        <v>4.4198300000000001E-4</v>
      </c>
      <c r="X19">
        <v>6.8234199999999995E-4</v>
      </c>
      <c r="Y19">
        <v>8.2530799999999997E-4</v>
      </c>
      <c r="Z19">
        <v>6.8826900000000003E-4</v>
      </c>
      <c r="AA19">
        <v>5.4815300000000001E-4</v>
      </c>
      <c r="AB19">
        <v>6.2044499999999996E-4</v>
      </c>
      <c r="AC19">
        <v>5.5339699999999996E-4</v>
      </c>
      <c r="AD19">
        <v>2.0589100000000001E-4</v>
      </c>
      <c r="AE19">
        <v>2.9850500000000002E-4</v>
      </c>
      <c r="AF19">
        <v>6.2127799999999996E-4</v>
      </c>
      <c r="AG19">
        <v>6.6959699999999997E-4</v>
      </c>
      <c r="AH19">
        <v>5.1368599999999996E-4</v>
      </c>
      <c r="AI19">
        <v>4.5689800000000002E-4</v>
      </c>
      <c r="AJ19">
        <v>3.4628600000000001E-4</v>
      </c>
      <c r="AK19">
        <v>6.3680400000000004E-4</v>
      </c>
      <c r="AL19">
        <v>9.1657999999999996E-4</v>
      </c>
      <c r="AM19">
        <v>1.2755819999999999E-3</v>
      </c>
      <c r="AN19">
        <v>1.4993059999999999E-3</v>
      </c>
      <c r="AO19">
        <v>1.2444789999999999E-3</v>
      </c>
      <c r="AP19">
        <v>6.4825500000000003E-4</v>
      </c>
      <c r="AQ19">
        <v>7.9402800000000001E-4</v>
      </c>
      <c r="AR19">
        <v>6.7161900000000004E-4</v>
      </c>
      <c r="AS19">
        <v>8.0802599999999999E-4</v>
      </c>
      <c r="AT19">
        <v>3.7429199999999997E-4</v>
      </c>
      <c r="AU19">
        <v>1.049332E-3</v>
      </c>
      <c r="AV19">
        <v>1.1201309999999999E-3</v>
      </c>
      <c r="AW19">
        <v>9.1872999999999998E-4</v>
      </c>
      <c r="AX19">
        <v>1.022984E-3</v>
      </c>
      <c r="AY19">
        <v>1.0500939999999999E-3</v>
      </c>
      <c r="AZ19">
        <v>1.366917E-3</v>
      </c>
      <c r="BA19">
        <v>1.0133849999999999E-3</v>
      </c>
      <c r="BB19">
        <v>1.7209370000000001E-3</v>
      </c>
      <c r="BC19">
        <v>1.178016E-3</v>
      </c>
      <c r="BD19">
        <v>1.0308509999999999E-3</v>
      </c>
      <c r="BE19">
        <v>7.6526700000000003E-3</v>
      </c>
      <c r="BF19">
        <v>2.5396499999999999E-4</v>
      </c>
      <c r="BG19">
        <v>4.79128E-4</v>
      </c>
      <c r="BH19">
        <v>1.4274310000000001E-3</v>
      </c>
      <c r="BI19">
        <v>6.9301499999999995E-4</v>
      </c>
      <c r="BJ19">
        <v>0</v>
      </c>
      <c r="BK19">
        <v>3.79513E-4</v>
      </c>
      <c r="BL19">
        <v>3.1838400000000001E-4</v>
      </c>
      <c r="BM19">
        <v>1.6487300000000001E-4</v>
      </c>
      <c r="BN19">
        <v>2.13783E-4</v>
      </c>
      <c r="BO19">
        <v>1.1539569999999999E-3</v>
      </c>
      <c r="BP19">
        <v>2.7573300000000001E-3</v>
      </c>
      <c r="BQ19">
        <v>1.3941629999999999E-3</v>
      </c>
      <c r="BR19">
        <v>1.533251E-3</v>
      </c>
      <c r="BS19">
        <v>1.6191809999999999E-3</v>
      </c>
      <c r="BT19">
        <v>6.16323E-4</v>
      </c>
      <c r="BU19">
        <v>9.9752799999999991E-4</v>
      </c>
      <c r="BV19">
        <v>2.5182500000000001E-4</v>
      </c>
      <c r="BW19">
        <v>3.4260999999999997E-4</v>
      </c>
      <c r="BX19">
        <v>1.3737100000000001E-4</v>
      </c>
      <c r="BY19">
        <v>1.6602380000000001E-3</v>
      </c>
      <c r="BZ19">
        <v>1.2567679999999999E-3</v>
      </c>
      <c r="CA19">
        <v>1.260838E-3</v>
      </c>
      <c r="CB19">
        <v>1.7536139999999999E-3</v>
      </c>
      <c r="CC19">
        <v>1.066027E-3</v>
      </c>
      <c r="CD19">
        <v>1.884197E-3</v>
      </c>
      <c r="CE19">
        <v>2.2569360000000002E-3</v>
      </c>
      <c r="CF19">
        <v>1.9698850000000002E-3</v>
      </c>
      <c r="CG19">
        <v>1.287926E-3</v>
      </c>
      <c r="CH19">
        <v>1.6361450000000001E-3</v>
      </c>
      <c r="CI19">
        <v>1.6730810000000001E-3</v>
      </c>
      <c r="CJ19">
        <v>2.147272E-3</v>
      </c>
      <c r="CK19">
        <v>2.5542719999999998E-3</v>
      </c>
      <c r="CL19">
        <v>1.3422390000000001E-3</v>
      </c>
      <c r="CM19">
        <v>2.056155E-3</v>
      </c>
      <c r="CN19">
        <v>1.7586710000000001E-3</v>
      </c>
      <c r="CO19">
        <v>1.4354960000000001E-3</v>
      </c>
      <c r="CP19">
        <v>1.564464E-3</v>
      </c>
      <c r="CQ19">
        <v>1.365687E-3</v>
      </c>
      <c r="CR19">
        <v>1.4102889999999999E-3</v>
      </c>
      <c r="CS19">
        <v>1.812515E-3</v>
      </c>
      <c r="CT19">
        <v>1.73492E-3</v>
      </c>
      <c r="CU19">
        <v>1.916683E-3</v>
      </c>
      <c r="CV19">
        <v>1.4040140000000001E-3</v>
      </c>
      <c r="CW19">
        <v>1.4759E-3</v>
      </c>
    </row>
    <row r="20" spans="1:101" x14ac:dyDescent="0.3">
      <c r="A20" t="s">
        <v>43</v>
      </c>
      <c r="B20">
        <v>1.5838810000000001E-3</v>
      </c>
      <c r="C20">
        <v>1.6112380000000001E-3</v>
      </c>
      <c r="D20">
        <v>1.129981E-3</v>
      </c>
      <c r="E20">
        <v>1.92391E-3</v>
      </c>
      <c r="F20">
        <v>2.3287820000000002E-3</v>
      </c>
      <c r="G20">
        <v>1.915225E-3</v>
      </c>
      <c r="H20">
        <v>1.70246E-3</v>
      </c>
      <c r="I20">
        <v>2.6522999999999998E-3</v>
      </c>
      <c r="J20">
        <v>8.21392E-4</v>
      </c>
      <c r="K20">
        <v>1.44604E-3</v>
      </c>
      <c r="L20">
        <v>1.3639699999999999E-3</v>
      </c>
      <c r="M20">
        <v>1.6071740000000001E-3</v>
      </c>
      <c r="N20">
        <v>4.5249840000000001E-3</v>
      </c>
      <c r="O20">
        <v>7.5611199999999997E-4</v>
      </c>
      <c r="P20">
        <v>1.5137939999999999E-3</v>
      </c>
      <c r="Q20">
        <v>5.0539169999999998E-3</v>
      </c>
      <c r="R20">
        <v>9.5338599999999997E-4</v>
      </c>
      <c r="S20">
        <v>3.5171619999999999E-3</v>
      </c>
      <c r="T20">
        <v>2.4375719999999998E-3</v>
      </c>
      <c r="U20">
        <v>5.826833E-3</v>
      </c>
      <c r="V20">
        <v>3.551963E-3</v>
      </c>
      <c r="W20">
        <v>3.5876620000000001E-3</v>
      </c>
      <c r="X20">
        <v>1.4449829999999999E-3</v>
      </c>
      <c r="Y20">
        <v>1.2943480000000001E-3</v>
      </c>
      <c r="Z20">
        <v>1.4168029999999999E-3</v>
      </c>
      <c r="AA20">
        <v>1.5710139999999999E-3</v>
      </c>
      <c r="AB20">
        <v>1.2956409999999999E-3</v>
      </c>
      <c r="AC20">
        <v>1.5062000000000001E-3</v>
      </c>
      <c r="AD20">
        <v>3.2675500000000001E-3</v>
      </c>
      <c r="AE20">
        <v>1.0170120000000001E-3</v>
      </c>
      <c r="AF20">
        <v>2.91088E-4</v>
      </c>
      <c r="AG20">
        <v>9.3509099999999998E-4</v>
      </c>
      <c r="AH20">
        <v>5.7109299999999995E-4</v>
      </c>
      <c r="AI20">
        <v>1.272425E-3</v>
      </c>
      <c r="AJ20">
        <v>1.4802459999999999E-3</v>
      </c>
      <c r="AK20">
        <v>2.6158399999999999E-3</v>
      </c>
      <c r="AL20">
        <v>2.307159E-3</v>
      </c>
      <c r="AM20">
        <v>6.6215899999999995E-4</v>
      </c>
      <c r="AN20">
        <v>5.4797199999999998E-4</v>
      </c>
      <c r="AO20">
        <v>9.7116399999999995E-4</v>
      </c>
      <c r="AP20">
        <v>6.2725400000000005E-4</v>
      </c>
      <c r="AQ20">
        <v>3.4838799999999999E-4</v>
      </c>
      <c r="AR20">
        <v>2.5450100000000002E-4</v>
      </c>
      <c r="AS20">
        <v>2.69673E-4</v>
      </c>
      <c r="AT20">
        <v>8.6886500000000002E-4</v>
      </c>
      <c r="AU20">
        <v>2.83706E-4</v>
      </c>
      <c r="AV20">
        <v>3.46103E-4</v>
      </c>
      <c r="AW20">
        <v>5.8561300000000002E-4</v>
      </c>
      <c r="AX20">
        <v>3.7905099999999999E-4</v>
      </c>
      <c r="AY20">
        <v>2.35689E-4</v>
      </c>
      <c r="AZ20">
        <v>1.020831E-3</v>
      </c>
      <c r="BA20">
        <v>6.6502399999999995E-4</v>
      </c>
      <c r="BB20">
        <v>4.59734E-4</v>
      </c>
      <c r="BC20">
        <v>7.4236699999999996E-4</v>
      </c>
      <c r="BD20">
        <v>9.1573399999999997E-4</v>
      </c>
      <c r="BE20">
        <v>3.374279E-3</v>
      </c>
      <c r="BF20">
        <v>4.434126E-3</v>
      </c>
      <c r="BG20">
        <v>7.0829499999999995E-4</v>
      </c>
      <c r="BH20">
        <v>2.4817399999999999E-4</v>
      </c>
      <c r="BI20">
        <v>2.4102310000000001E-3</v>
      </c>
      <c r="BJ20">
        <v>7.5754719999999998E-3</v>
      </c>
      <c r="BK20">
        <v>5.5694459999999996E-3</v>
      </c>
      <c r="BL20">
        <v>1.0413130000000001E-3</v>
      </c>
      <c r="BM20">
        <v>3.429194E-3</v>
      </c>
      <c r="BN20">
        <v>2.7988269999999998E-3</v>
      </c>
      <c r="BO20">
        <v>3.3953469999999999E-3</v>
      </c>
      <c r="BP20">
        <v>2.6341770000000001E-3</v>
      </c>
      <c r="BQ20">
        <v>5.0261730000000001E-3</v>
      </c>
      <c r="BR20">
        <v>7.4359199999999995E-4</v>
      </c>
      <c r="BS20">
        <v>5.5966119999999999E-3</v>
      </c>
      <c r="BT20">
        <v>4.6108879999999996E-3</v>
      </c>
      <c r="BU20">
        <v>1.8373930000000001E-3</v>
      </c>
      <c r="BV20">
        <v>3.4685269999999999E-3</v>
      </c>
      <c r="BW20">
        <v>4.759335E-3</v>
      </c>
      <c r="BX20">
        <v>8.9011230000000004E-3</v>
      </c>
      <c r="BY20">
        <v>1.1803670000000001E-3</v>
      </c>
      <c r="BZ20">
        <v>7.28515E-4</v>
      </c>
      <c r="CA20">
        <v>7.2009999999999999E-4</v>
      </c>
      <c r="CB20">
        <v>1.6159729999999999E-3</v>
      </c>
      <c r="CC20">
        <v>5.1593699999999995E-4</v>
      </c>
      <c r="CD20">
        <v>2.0789499999999999E-4</v>
      </c>
      <c r="CE20">
        <v>4.8801900000000002E-4</v>
      </c>
      <c r="CF20">
        <v>1.28462E-4</v>
      </c>
      <c r="CG20">
        <v>1.022839E-3</v>
      </c>
      <c r="CH20">
        <v>4.7630399999999999E-4</v>
      </c>
      <c r="CI20">
        <v>4.2363999999999998E-4</v>
      </c>
      <c r="CJ20">
        <v>5.5636300000000004E-4</v>
      </c>
      <c r="CK20">
        <v>7.1509799999999995E-4</v>
      </c>
      <c r="CL20">
        <v>3.1271700000000001E-4</v>
      </c>
      <c r="CM20">
        <v>5.1980600000000004E-4</v>
      </c>
      <c r="CN20">
        <v>2.0219500000000001E-4</v>
      </c>
      <c r="CO20">
        <v>4.4949999999999998E-4</v>
      </c>
      <c r="CP20">
        <v>4.00856E-4</v>
      </c>
      <c r="CQ20">
        <v>6.8367999999999999E-4</v>
      </c>
      <c r="CR20">
        <v>1.74759E-4</v>
      </c>
      <c r="CS20">
        <v>3.13195E-4</v>
      </c>
      <c r="CT20">
        <v>3.01172E-4</v>
      </c>
      <c r="CU20">
        <v>2.4341599999999999E-4</v>
      </c>
      <c r="CV20">
        <v>3.8707500000000002E-4</v>
      </c>
      <c r="CW20">
        <v>2.69945E-4</v>
      </c>
    </row>
    <row r="21" spans="1:101" x14ac:dyDescent="0.3">
      <c r="A21" t="s">
        <v>44</v>
      </c>
      <c r="B21">
        <v>2.00755E-4</v>
      </c>
      <c r="C21">
        <v>4.03294E-4</v>
      </c>
      <c r="D21">
        <v>3.6401100000000002E-4</v>
      </c>
      <c r="E21">
        <v>3.6999599999999999E-4</v>
      </c>
      <c r="F21">
        <v>6.24152E-4</v>
      </c>
      <c r="G21">
        <v>1.21017E-4</v>
      </c>
      <c r="H21">
        <v>0</v>
      </c>
      <c r="I21">
        <v>0</v>
      </c>
      <c r="J21">
        <v>0</v>
      </c>
      <c r="K21">
        <v>1.2622800000000001E-4</v>
      </c>
      <c r="L21">
        <v>0</v>
      </c>
      <c r="M21" s="1">
        <v>6.7000000000000002E-5</v>
      </c>
      <c r="N21">
        <v>5.4523600000000005E-4</v>
      </c>
      <c r="O21">
        <v>3.4486599999999999E-4</v>
      </c>
      <c r="P21">
        <v>1.46169E-4</v>
      </c>
      <c r="Q21">
        <v>0</v>
      </c>
      <c r="R21" s="1">
        <v>5.2099999999999999E-5</v>
      </c>
      <c r="S21">
        <v>3.16562E-4</v>
      </c>
      <c r="T21">
        <v>1.5595E-4</v>
      </c>
      <c r="U21">
        <v>3.6119800000000002E-4</v>
      </c>
      <c r="V21">
        <v>4.3734699999999999E-4</v>
      </c>
      <c r="W21">
        <v>0</v>
      </c>
      <c r="X21">
        <v>2.08218E-4</v>
      </c>
      <c r="Y21">
        <v>0</v>
      </c>
      <c r="Z21">
        <v>2.4355199999999999E-4</v>
      </c>
      <c r="AA21">
        <v>4.259E-4</v>
      </c>
      <c r="AB21">
        <v>3.0636699999999999E-4</v>
      </c>
      <c r="AC21">
        <v>4.4487900000000002E-4</v>
      </c>
      <c r="AD21">
        <v>4.4402299999999999E-4</v>
      </c>
      <c r="AE21">
        <v>4.7428100000000001E-4</v>
      </c>
      <c r="AF21">
        <v>1.2634500000000001E-4</v>
      </c>
      <c r="AG21">
        <v>1.8729400000000001E-4</v>
      </c>
      <c r="AH21">
        <v>1.04943E-4</v>
      </c>
      <c r="AI21">
        <v>2.1634599999999999E-4</v>
      </c>
      <c r="AJ21" s="1">
        <v>4.8099999999999997E-5</v>
      </c>
      <c r="AK21">
        <v>3.0731600000000002E-4</v>
      </c>
      <c r="AL21">
        <v>1.864E-4</v>
      </c>
      <c r="AM21">
        <v>6.1640499999999999E-4</v>
      </c>
      <c r="AN21">
        <v>5.2162300000000003E-4</v>
      </c>
      <c r="AO21">
        <v>3.2268599999999998E-4</v>
      </c>
      <c r="AP21" s="1">
        <v>8.3300000000000005E-5</v>
      </c>
      <c r="AQ21">
        <v>3.2551500000000002E-4</v>
      </c>
      <c r="AR21">
        <v>1.05603E-4</v>
      </c>
      <c r="AS21">
        <v>2.5262100000000002E-4</v>
      </c>
      <c r="AT21">
        <v>1.05154E-4</v>
      </c>
      <c r="AU21">
        <v>2.3645400000000001E-4</v>
      </c>
      <c r="AV21">
        <v>3.4779400000000001E-4</v>
      </c>
      <c r="AW21">
        <v>2.7997699999999999E-4</v>
      </c>
      <c r="AX21">
        <v>2.1897999999999999E-4</v>
      </c>
      <c r="AY21">
        <v>1.98376E-4</v>
      </c>
      <c r="AZ21">
        <v>2.6886800000000001E-4</v>
      </c>
      <c r="BA21">
        <v>7.7050899999999995E-4</v>
      </c>
      <c r="BB21">
        <v>5.1181200000000005E-4</v>
      </c>
      <c r="BC21">
        <v>4.19231E-4</v>
      </c>
      <c r="BD21">
        <v>4.3670699999999999E-4</v>
      </c>
      <c r="BE21">
        <v>1.3509399999999999E-4</v>
      </c>
      <c r="BF21">
        <v>2.7218700000000001E-4</v>
      </c>
      <c r="BG21" s="1">
        <v>9.5099999999999994E-5</v>
      </c>
      <c r="BH21">
        <v>2.18428E-4</v>
      </c>
      <c r="BI21">
        <v>0</v>
      </c>
      <c r="BJ21">
        <v>0</v>
      </c>
      <c r="BK21">
        <v>0</v>
      </c>
      <c r="BL21">
        <v>3.4057899999999998E-4</v>
      </c>
      <c r="BM21">
        <v>3.3032899999999997E-4</v>
      </c>
      <c r="BN21">
        <v>3.22646E-4</v>
      </c>
      <c r="BO21">
        <v>3.9380200000000001E-4</v>
      </c>
      <c r="BP21">
        <v>1.70679E-4</v>
      </c>
      <c r="BQ21">
        <v>2.4392199999999999E-4</v>
      </c>
      <c r="BR21" s="1">
        <v>4.99E-5</v>
      </c>
      <c r="BS21">
        <v>1.65957E-4</v>
      </c>
      <c r="BT21">
        <v>0</v>
      </c>
      <c r="BU21">
        <v>1.6188199999999999E-4</v>
      </c>
      <c r="BV21">
        <v>4.7077399999999998E-4</v>
      </c>
      <c r="BW21">
        <v>4.7217599999999999E-4</v>
      </c>
      <c r="BX21">
        <v>1.3353099999999999E-4</v>
      </c>
      <c r="BY21">
        <v>3.7591099999999999E-4</v>
      </c>
      <c r="BZ21">
        <v>2.8038299999999999E-4</v>
      </c>
      <c r="CA21">
        <v>2.8891600000000001E-4</v>
      </c>
      <c r="CB21">
        <v>4.9475699999999997E-4</v>
      </c>
      <c r="CC21">
        <v>4.8148899999999998E-4</v>
      </c>
      <c r="CD21">
        <v>6.1897299999999998E-4</v>
      </c>
      <c r="CE21">
        <v>6.7185900000000002E-4</v>
      </c>
      <c r="CF21">
        <v>4.9229000000000005E-4</v>
      </c>
      <c r="CG21">
        <v>3.02377E-4</v>
      </c>
      <c r="CH21">
        <v>3.4306400000000002E-4</v>
      </c>
      <c r="CI21">
        <v>1.362329E-3</v>
      </c>
      <c r="CJ21">
        <v>8.9569599999999997E-4</v>
      </c>
      <c r="CK21">
        <v>7.5252299999999995E-4</v>
      </c>
      <c r="CL21">
        <v>6.9761300000000003E-4</v>
      </c>
      <c r="CM21">
        <v>5.7053900000000001E-4</v>
      </c>
      <c r="CN21">
        <v>3.6497599999999998E-4</v>
      </c>
      <c r="CO21">
        <v>3.2890000000000003E-4</v>
      </c>
      <c r="CP21">
        <v>4.6718500000000001E-4</v>
      </c>
      <c r="CQ21">
        <v>2.6806600000000002E-4</v>
      </c>
      <c r="CR21">
        <v>3.41176E-4</v>
      </c>
      <c r="CS21">
        <v>3.6144500000000001E-4</v>
      </c>
      <c r="CT21">
        <v>3.5496699999999998E-4</v>
      </c>
      <c r="CU21">
        <v>3.9965399999999999E-4</v>
      </c>
      <c r="CV21">
        <v>2.5908700000000002E-4</v>
      </c>
      <c r="CW21">
        <v>3.0202400000000002E-4</v>
      </c>
    </row>
    <row r="22" spans="1:101" x14ac:dyDescent="0.3">
      <c r="A22" t="s">
        <v>45</v>
      </c>
      <c r="B22">
        <v>2.4398000000000001E-4</v>
      </c>
      <c r="C22">
        <v>3.6093699999999998E-4</v>
      </c>
      <c r="D22">
        <v>1.8871799999999999E-4</v>
      </c>
      <c r="E22">
        <v>1.1739399999999999E-4</v>
      </c>
      <c r="F22">
        <v>1.1589100000000001E-4</v>
      </c>
      <c r="G22">
        <v>1.9535900000000001E-4</v>
      </c>
      <c r="H22">
        <v>1.4616499999999999E-4</v>
      </c>
      <c r="I22">
        <v>1.4928000000000001E-4</v>
      </c>
      <c r="J22" s="1">
        <v>8.2999999999999998E-5</v>
      </c>
      <c r="K22">
        <v>2.1432600000000001E-4</v>
      </c>
      <c r="L22">
        <v>6.9104799999999999E-4</v>
      </c>
      <c r="M22">
        <v>2.91422E-4</v>
      </c>
      <c r="N22">
        <v>0</v>
      </c>
      <c r="O22">
        <v>0</v>
      </c>
      <c r="P22">
        <v>4.9621599999999995E-4</v>
      </c>
      <c r="Q22" s="1">
        <v>5.3399999999999997E-5</v>
      </c>
      <c r="R22" s="1">
        <v>6.1799999999999998E-5</v>
      </c>
      <c r="S22" s="1">
        <v>3.6300000000000001E-5</v>
      </c>
      <c r="T22">
        <v>0</v>
      </c>
      <c r="U22">
        <v>1.0142800000000001E-4</v>
      </c>
      <c r="V22">
        <v>5.5810600000000005E-4</v>
      </c>
      <c r="W22" s="1">
        <v>8.9400000000000005E-5</v>
      </c>
      <c r="X22">
        <v>2.5855300000000002E-4</v>
      </c>
      <c r="Y22">
        <v>5.2078300000000003E-4</v>
      </c>
      <c r="Z22">
        <v>3.2854100000000001E-4</v>
      </c>
      <c r="AA22">
        <v>6.5063000000000002E-4</v>
      </c>
      <c r="AB22">
        <v>5.1202500000000005E-4</v>
      </c>
      <c r="AC22">
        <v>5.1179899999999996E-4</v>
      </c>
      <c r="AD22">
        <v>2.6879900000000001E-4</v>
      </c>
      <c r="AE22">
        <v>3.5424799999999999E-4</v>
      </c>
      <c r="AF22">
        <v>0</v>
      </c>
      <c r="AG22">
        <v>0</v>
      </c>
      <c r="AH22" s="1">
        <v>1.2799999999999999E-5</v>
      </c>
      <c r="AI22" s="1">
        <v>1.01E-5</v>
      </c>
      <c r="AJ22">
        <v>0</v>
      </c>
      <c r="AK22" s="1">
        <v>1.27E-5</v>
      </c>
      <c r="AL22" s="1">
        <v>3.5299999999999997E-5</v>
      </c>
      <c r="AM22" s="1">
        <v>3.8500000000000001E-5</v>
      </c>
      <c r="AN22">
        <v>1.01124E-4</v>
      </c>
      <c r="AO22" s="1">
        <v>5.9500000000000003E-5</v>
      </c>
      <c r="AP22" s="1">
        <v>2.7100000000000001E-5</v>
      </c>
      <c r="AQ22" s="1">
        <v>2.87E-5</v>
      </c>
      <c r="AR22" s="1">
        <v>3.6699999999999998E-5</v>
      </c>
      <c r="AS22" s="1">
        <v>3.1900000000000003E-5</v>
      </c>
      <c r="AT22">
        <v>0</v>
      </c>
      <c r="AU22" s="1">
        <v>3.4999999999999997E-5</v>
      </c>
      <c r="AV22" s="1">
        <v>8.4699999999999999E-5</v>
      </c>
      <c r="AW22" s="1">
        <v>4.6999999999999997E-5</v>
      </c>
      <c r="AX22" s="1">
        <v>7.0099999999999996E-5</v>
      </c>
      <c r="AY22" s="1">
        <v>5.1499999999999998E-5</v>
      </c>
      <c r="AZ22">
        <v>3.8210000000000002E-4</v>
      </c>
      <c r="BA22">
        <v>4.4257900000000002E-4</v>
      </c>
      <c r="BB22">
        <v>4.9630699999999998E-4</v>
      </c>
      <c r="BC22">
        <v>4.56773E-4</v>
      </c>
      <c r="BD22">
        <v>4.7525300000000003E-4</v>
      </c>
      <c r="BE22">
        <v>5.8848799999999997E-4</v>
      </c>
      <c r="BF22">
        <v>1.2661700000000001E-4</v>
      </c>
      <c r="BG22">
        <v>2.0452900000000001E-4</v>
      </c>
      <c r="BH22">
        <v>4.8892E-4</v>
      </c>
      <c r="BI22">
        <v>1.16352E-4</v>
      </c>
      <c r="BJ22">
        <v>2.7170500000000002E-4</v>
      </c>
      <c r="BK22">
        <v>0</v>
      </c>
      <c r="BL22">
        <v>4.8076999999999999E-4</v>
      </c>
      <c r="BM22">
        <v>1.57603E-4</v>
      </c>
      <c r="BN22">
        <v>4.6620599999999999E-4</v>
      </c>
      <c r="BO22">
        <v>5.54825E-4</v>
      </c>
      <c r="BP22" s="1">
        <v>9.9099999999999996E-5</v>
      </c>
      <c r="BQ22" s="1">
        <v>5.8300000000000001E-5</v>
      </c>
      <c r="BR22" s="1">
        <v>4.0399999999999999E-5</v>
      </c>
      <c r="BS22" s="1">
        <v>2.8099999999999999E-5</v>
      </c>
      <c r="BT22">
        <v>1.7059E-4</v>
      </c>
      <c r="BU22">
        <v>4.8224299999999998E-4</v>
      </c>
      <c r="BV22">
        <v>1.5490299999999999E-4</v>
      </c>
      <c r="BW22">
        <v>2.5353000000000002E-4</v>
      </c>
      <c r="BX22">
        <v>0</v>
      </c>
      <c r="BY22">
        <v>6.1537799999999998E-4</v>
      </c>
      <c r="BZ22">
        <v>4.0091299999999997E-4</v>
      </c>
      <c r="CA22">
        <v>4.85274E-4</v>
      </c>
      <c r="CB22">
        <v>9.1200500000000002E-4</v>
      </c>
      <c r="CC22">
        <v>5.7980300000000005E-4</v>
      </c>
      <c r="CD22" s="1">
        <v>6.3399999999999996E-5</v>
      </c>
      <c r="CE22" s="1">
        <v>6.4200000000000002E-5</v>
      </c>
      <c r="CF22" s="1">
        <v>6.7199999999999994E-5</v>
      </c>
      <c r="CG22" s="1">
        <v>4.49E-5</v>
      </c>
      <c r="CH22" s="1">
        <v>5.7800000000000002E-5</v>
      </c>
      <c r="CI22" s="1">
        <v>7.9300000000000003E-5</v>
      </c>
      <c r="CJ22" s="1">
        <v>7.5300000000000001E-5</v>
      </c>
      <c r="CK22" s="1">
        <v>8.5400000000000002E-5</v>
      </c>
      <c r="CL22" s="1">
        <v>5.66E-5</v>
      </c>
      <c r="CM22" s="1">
        <v>7.2999999999999999E-5</v>
      </c>
      <c r="CN22" s="1">
        <v>6.7100000000000005E-5</v>
      </c>
      <c r="CO22" s="1">
        <v>7.0099999999999996E-5</v>
      </c>
      <c r="CP22" s="1">
        <v>8.6299999999999997E-5</v>
      </c>
      <c r="CQ22" s="1">
        <v>5.0699999999999999E-5</v>
      </c>
      <c r="CR22" s="1">
        <v>5.5800000000000001E-5</v>
      </c>
      <c r="CS22" s="1">
        <v>8.7399999999999997E-5</v>
      </c>
      <c r="CT22" s="1">
        <v>8.0400000000000003E-5</v>
      </c>
      <c r="CU22" s="1">
        <v>7.0400000000000004E-5</v>
      </c>
      <c r="CV22" s="1">
        <v>9.1700000000000006E-5</v>
      </c>
      <c r="CW22" s="1">
        <v>6.3700000000000003E-5</v>
      </c>
    </row>
    <row r="23" spans="1:101" x14ac:dyDescent="0.3">
      <c r="A23" t="s">
        <v>46</v>
      </c>
      <c r="B23">
        <v>7.8823890000000001E-3</v>
      </c>
      <c r="C23">
        <v>1.0550031E-2</v>
      </c>
      <c r="D23">
        <v>0.28358168299999997</v>
      </c>
      <c r="E23">
        <v>4.4442216999999999E-2</v>
      </c>
      <c r="F23">
        <v>1.2998651999999999E-2</v>
      </c>
      <c r="G23">
        <v>1.2364660000000001E-3</v>
      </c>
      <c r="H23">
        <v>9.6624600000000003E-4</v>
      </c>
      <c r="I23">
        <v>4.1610200000000001E-4</v>
      </c>
      <c r="J23">
        <v>7.0485399999999998E-4</v>
      </c>
      <c r="K23">
        <v>6.79267E-4</v>
      </c>
      <c r="L23">
        <v>8.1813600000000002E-4</v>
      </c>
      <c r="M23">
        <v>1.0720199999999999E-3</v>
      </c>
      <c r="N23">
        <v>5.2310439999999998E-3</v>
      </c>
      <c r="O23">
        <v>1.018316E-3</v>
      </c>
      <c r="P23">
        <v>1.8403200000000001E-3</v>
      </c>
      <c r="Q23">
        <v>6.2040680000000001E-3</v>
      </c>
      <c r="R23">
        <v>1.867919E-3</v>
      </c>
      <c r="S23">
        <v>1.2000730000000001E-3</v>
      </c>
      <c r="T23">
        <v>4.7998799999999999E-4</v>
      </c>
      <c r="U23">
        <v>3.7727189999999999E-3</v>
      </c>
      <c r="V23">
        <v>9.5668000000000001E-4</v>
      </c>
      <c r="W23">
        <v>4.9286099999999999E-3</v>
      </c>
      <c r="X23">
        <v>1.0756209999999999E-3</v>
      </c>
      <c r="Y23">
        <v>3.5270599999999999E-4</v>
      </c>
      <c r="Z23">
        <v>9.2006800000000001E-4</v>
      </c>
      <c r="AA23">
        <v>1.223193E-3</v>
      </c>
      <c r="AB23">
        <v>1.153196E-3</v>
      </c>
      <c r="AC23">
        <v>3.6966499999999998E-4</v>
      </c>
      <c r="AD23" s="1">
        <v>2.37E-5</v>
      </c>
      <c r="AE23">
        <v>3.5938099999999998E-4</v>
      </c>
      <c r="AF23">
        <v>1.8186600000000001E-4</v>
      </c>
      <c r="AG23">
        <v>8.3646800000000004E-4</v>
      </c>
      <c r="AH23" s="1">
        <v>6.2199999999999994E-5</v>
      </c>
      <c r="AI23">
        <v>1.4662200000000001E-4</v>
      </c>
      <c r="AJ23">
        <v>2.21134E-4</v>
      </c>
      <c r="AK23">
        <v>7.6525400000000004E-4</v>
      </c>
      <c r="AL23">
        <v>4.5099499999999999E-4</v>
      </c>
      <c r="AM23" s="1">
        <v>7.2899999999999997E-5</v>
      </c>
      <c r="AN23" s="1">
        <v>6.0000000000000002E-5</v>
      </c>
      <c r="AO23" s="1">
        <v>7.3499999999999998E-5</v>
      </c>
      <c r="AP23">
        <v>4.0704100000000002E-4</v>
      </c>
      <c r="AQ23" s="1">
        <v>3.01E-5</v>
      </c>
      <c r="AR23" s="1">
        <v>6.02E-5</v>
      </c>
      <c r="AS23">
        <v>1.19422E-4</v>
      </c>
      <c r="AT23">
        <v>1.2268399999999999E-4</v>
      </c>
      <c r="AU23">
        <v>1.96601E-4</v>
      </c>
      <c r="AV23">
        <v>2.7315199999999998E-4</v>
      </c>
      <c r="AW23" s="1">
        <v>7.0300000000000001E-5</v>
      </c>
      <c r="AX23">
        <v>0</v>
      </c>
      <c r="AY23">
        <v>0</v>
      </c>
      <c r="AZ23">
        <v>0</v>
      </c>
      <c r="BA23">
        <v>0</v>
      </c>
      <c r="BB23">
        <v>1.8873800000000001E-4</v>
      </c>
      <c r="BC23">
        <v>0</v>
      </c>
      <c r="BD23">
        <v>2.2944999999999999E-4</v>
      </c>
      <c r="BE23">
        <v>7.8181699999999997E-4</v>
      </c>
      <c r="BF23">
        <v>9.3594399999999997E-4</v>
      </c>
      <c r="BG23">
        <v>2.2691500000000001E-4</v>
      </c>
      <c r="BH23" s="1">
        <v>4.3600000000000003E-5</v>
      </c>
      <c r="BI23">
        <v>4.6527E-4</v>
      </c>
      <c r="BJ23">
        <v>2.9186049999999999E-3</v>
      </c>
      <c r="BK23">
        <v>5.1133299999999999E-4</v>
      </c>
      <c r="BL23">
        <v>4.9645099999999997E-4</v>
      </c>
      <c r="BM23">
        <v>1.1793089999999999E-3</v>
      </c>
      <c r="BN23">
        <v>1.17484E-4</v>
      </c>
      <c r="BO23">
        <v>2.6055400000000003E-4</v>
      </c>
      <c r="BP23">
        <v>1.6243200000000001E-4</v>
      </c>
      <c r="BQ23">
        <v>1.3892200000000001E-4</v>
      </c>
      <c r="BR23">
        <v>2.7495999999999998E-4</v>
      </c>
      <c r="BS23">
        <v>2.6878500000000001E-4</v>
      </c>
      <c r="BT23">
        <v>2.0596699999999999E-4</v>
      </c>
      <c r="BU23">
        <v>0</v>
      </c>
      <c r="BV23">
        <v>2.9827800000000002E-4</v>
      </c>
      <c r="BW23">
        <v>3.5763100000000002E-4</v>
      </c>
      <c r="BX23">
        <v>8.0132900000000004E-4</v>
      </c>
      <c r="BY23" s="1">
        <v>7.8700000000000002E-5</v>
      </c>
      <c r="BZ23">
        <v>1.8368900000000001E-4</v>
      </c>
      <c r="CA23">
        <v>2.2101099999999999E-4</v>
      </c>
      <c r="CB23">
        <v>3.0078100000000002E-4</v>
      </c>
      <c r="CC23">
        <v>1.1313E-4</v>
      </c>
      <c r="CD23" s="1">
        <v>6.86E-5</v>
      </c>
      <c r="CE23" s="1">
        <v>8.9099999999999997E-5</v>
      </c>
      <c r="CF23">
        <v>1.7653699999999999E-4</v>
      </c>
      <c r="CG23" s="1">
        <v>4.4100000000000001E-5</v>
      </c>
      <c r="CH23">
        <v>0</v>
      </c>
      <c r="CI23">
        <v>0</v>
      </c>
      <c r="CJ23">
        <v>1.92585E-4</v>
      </c>
      <c r="CK23" s="1">
        <v>7.8399999999999995E-5</v>
      </c>
      <c r="CL23">
        <v>0</v>
      </c>
      <c r="CM23">
        <v>2.7913800000000001E-4</v>
      </c>
      <c r="CN23">
        <v>0</v>
      </c>
      <c r="CO23" s="1">
        <v>4.6699999999999997E-5</v>
      </c>
      <c r="CP23" s="1">
        <v>2.62E-5</v>
      </c>
      <c r="CQ23" s="1">
        <v>2.6699999999999998E-5</v>
      </c>
      <c r="CR23">
        <v>0</v>
      </c>
      <c r="CS23" s="1">
        <v>4.49E-5</v>
      </c>
      <c r="CT23">
        <v>1.2538299999999999E-4</v>
      </c>
      <c r="CU23" s="1">
        <v>8.5099999999999995E-5</v>
      </c>
      <c r="CV23" s="1">
        <v>3.3599999999999997E-5</v>
      </c>
      <c r="CW23">
        <v>0</v>
      </c>
    </row>
    <row r="24" spans="1:101" x14ac:dyDescent="0.3">
      <c r="A24" t="s">
        <v>47</v>
      </c>
      <c r="B24">
        <v>1.9054269999999999E-3</v>
      </c>
      <c r="C24">
        <v>1.156968E-3</v>
      </c>
      <c r="D24">
        <v>3.9371049999999998E-3</v>
      </c>
      <c r="E24">
        <v>1.6278200000000001E-3</v>
      </c>
      <c r="F24">
        <v>2.1886689999999999E-3</v>
      </c>
      <c r="G24">
        <v>4.7277810000000003E-3</v>
      </c>
      <c r="H24">
        <v>2.445408E-3</v>
      </c>
      <c r="I24">
        <v>4.9651369999999997E-3</v>
      </c>
      <c r="J24">
        <v>2.88514E-3</v>
      </c>
      <c r="K24">
        <v>3.0126250000000001E-3</v>
      </c>
      <c r="L24">
        <v>1.7679169999999999E-3</v>
      </c>
      <c r="M24">
        <v>1.348347E-3</v>
      </c>
      <c r="N24">
        <v>5.683212E-3</v>
      </c>
      <c r="O24">
        <v>2.2247999999999999E-3</v>
      </c>
      <c r="P24">
        <v>1.3523090000000001E-3</v>
      </c>
      <c r="Q24">
        <v>2.904004E-3</v>
      </c>
      <c r="R24">
        <v>7.4050899999999998E-4</v>
      </c>
      <c r="S24">
        <v>9.3615400000000002E-4</v>
      </c>
      <c r="T24">
        <v>1.7642459999999999E-3</v>
      </c>
      <c r="U24">
        <v>2.486626E-3</v>
      </c>
      <c r="V24">
        <v>2.0107520000000002E-3</v>
      </c>
      <c r="W24">
        <v>2.3962940000000002E-3</v>
      </c>
      <c r="X24">
        <v>1.1589040000000001E-3</v>
      </c>
      <c r="Y24">
        <v>2.8639600000000001E-4</v>
      </c>
      <c r="Z24">
        <v>1.225252E-3</v>
      </c>
      <c r="AA24">
        <v>7.6748599999999995E-4</v>
      </c>
      <c r="AB24">
        <v>8.1784700000000002E-4</v>
      </c>
      <c r="AC24">
        <v>8.14823E-4</v>
      </c>
      <c r="AD24">
        <v>1.1321219999999999E-3</v>
      </c>
      <c r="AE24">
        <v>1.6080770000000001E-3</v>
      </c>
      <c r="AF24">
        <v>5.70511E-4</v>
      </c>
      <c r="AG24">
        <v>2.51177E-4</v>
      </c>
      <c r="AH24">
        <v>4.5874000000000002E-4</v>
      </c>
      <c r="AI24">
        <v>3.6946100000000002E-4</v>
      </c>
      <c r="AJ24">
        <v>2.6895700000000001E-4</v>
      </c>
      <c r="AK24">
        <v>6.6828299999999998E-4</v>
      </c>
      <c r="AL24">
        <v>5.7152799999999997E-4</v>
      </c>
      <c r="AM24">
        <v>4.73991E-4</v>
      </c>
      <c r="AN24">
        <v>4.94725E-4</v>
      </c>
      <c r="AO24">
        <v>3.4859600000000001E-4</v>
      </c>
      <c r="AP24">
        <v>3.61648E-4</v>
      </c>
      <c r="AQ24">
        <v>4.53616E-4</v>
      </c>
      <c r="AR24">
        <v>2.11962E-4</v>
      </c>
      <c r="AS24">
        <v>2.7496900000000002E-4</v>
      </c>
      <c r="AT24">
        <v>2.8071299999999998E-4</v>
      </c>
      <c r="AU24">
        <v>3.2469699999999998E-4</v>
      </c>
      <c r="AV24">
        <v>4.6328100000000001E-4</v>
      </c>
      <c r="AW24">
        <v>3.5754200000000003E-4</v>
      </c>
      <c r="AX24">
        <v>2.09316E-4</v>
      </c>
      <c r="AY24">
        <v>2.88127E-4</v>
      </c>
      <c r="AZ24">
        <v>2.2591199999999999E-4</v>
      </c>
      <c r="BA24">
        <v>3.14304E-4</v>
      </c>
      <c r="BB24">
        <v>2.7843300000000002E-4</v>
      </c>
      <c r="BC24">
        <v>1.90411E-4</v>
      </c>
      <c r="BD24">
        <v>1.8115399999999999E-4</v>
      </c>
      <c r="BE24">
        <v>1.0315649999999999E-3</v>
      </c>
      <c r="BF24">
        <v>7.3617500000000005E-4</v>
      </c>
      <c r="BG24">
        <v>1.7538440000000001E-3</v>
      </c>
      <c r="BH24">
        <v>6.0289199999999995E-4</v>
      </c>
      <c r="BI24">
        <v>1.0190240000000001E-3</v>
      </c>
      <c r="BJ24">
        <v>1.841723E-3</v>
      </c>
      <c r="BK24">
        <v>1.639139E-3</v>
      </c>
      <c r="BL24">
        <v>4.8459600000000001E-4</v>
      </c>
      <c r="BM24">
        <v>9.8009700000000009E-4</v>
      </c>
      <c r="BN24">
        <v>7.2038799999999997E-4</v>
      </c>
      <c r="BO24">
        <v>3.6578899999999999E-4</v>
      </c>
      <c r="BP24">
        <v>4.9103899999999997E-4</v>
      </c>
      <c r="BQ24">
        <v>5.3271700000000004E-4</v>
      </c>
      <c r="BR24">
        <v>3.6436900000000002E-4</v>
      </c>
      <c r="BS24">
        <v>3.8114600000000001E-4</v>
      </c>
      <c r="BT24">
        <v>3.7806E-4</v>
      </c>
      <c r="BU24">
        <v>3.34672E-4</v>
      </c>
      <c r="BV24">
        <v>1.38137E-3</v>
      </c>
      <c r="BW24">
        <v>6.5269199999999996E-4</v>
      </c>
      <c r="BX24">
        <v>1.309019E-3</v>
      </c>
      <c r="BY24">
        <v>6.6747499999999995E-4</v>
      </c>
      <c r="BZ24">
        <v>3.4473499999999999E-4</v>
      </c>
      <c r="CA24">
        <v>2.6446400000000001E-4</v>
      </c>
      <c r="CB24">
        <v>6.4279099999999998E-4</v>
      </c>
      <c r="CC24">
        <v>4.4497500000000001E-4</v>
      </c>
      <c r="CD24">
        <v>1.3353709999999999E-3</v>
      </c>
      <c r="CE24">
        <v>1.6535619999999999E-3</v>
      </c>
      <c r="CF24">
        <v>1.590251E-3</v>
      </c>
      <c r="CG24">
        <v>8.5991699999999997E-4</v>
      </c>
      <c r="CH24">
        <v>1.01162E-3</v>
      </c>
      <c r="CI24">
        <v>2.3724900000000001E-3</v>
      </c>
      <c r="CJ24">
        <v>1.4294049999999999E-3</v>
      </c>
      <c r="CK24">
        <v>1.3477540000000001E-3</v>
      </c>
      <c r="CL24">
        <v>1.6102569999999999E-3</v>
      </c>
      <c r="CM24">
        <v>1.223093E-3</v>
      </c>
      <c r="CN24">
        <v>1.026976E-3</v>
      </c>
      <c r="CO24">
        <v>4.8151500000000001E-4</v>
      </c>
      <c r="CP24">
        <v>9.6846200000000001E-4</v>
      </c>
      <c r="CQ24">
        <v>4.6913100000000002E-4</v>
      </c>
      <c r="CR24">
        <v>8.2224299999999995E-4</v>
      </c>
      <c r="CS24">
        <v>1.205944E-3</v>
      </c>
      <c r="CT24">
        <v>1.000222E-3</v>
      </c>
      <c r="CU24">
        <v>1.8433430000000001E-3</v>
      </c>
      <c r="CV24">
        <v>9.5589799999999995E-4</v>
      </c>
      <c r="CW24">
        <v>1.619779E-3</v>
      </c>
    </row>
    <row r="25" spans="1:101" x14ac:dyDescent="0.3">
      <c r="A25" t="s">
        <v>48</v>
      </c>
      <c r="B25">
        <v>3.1002800000000001E-4</v>
      </c>
      <c r="C25">
        <v>2.6841000000000001E-4</v>
      </c>
      <c r="D25">
        <v>2.0983199999999999E-4</v>
      </c>
      <c r="E25">
        <v>3.0119199999999999E-4</v>
      </c>
      <c r="F25">
        <v>0</v>
      </c>
      <c r="G25">
        <v>4.47522E-4</v>
      </c>
      <c r="H25">
        <v>4.8695900000000002E-4</v>
      </c>
      <c r="I25">
        <v>2.7441899999999998E-4</v>
      </c>
      <c r="J25">
        <v>0</v>
      </c>
      <c r="K25">
        <v>1.7193300000000001E-4</v>
      </c>
      <c r="L25">
        <v>3.1505599999999997E-4</v>
      </c>
      <c r="M25">
        <v>2.3018600000000001E-4</v>
      </c>
      <c r="N25">
        <v>0</v>
      </c>
      <c r="O25">
        <v>1.02252E-4</v>
      </c>
      <c r="P25">
        <v>2.10001E-4</v>
      </c>
      <c r="Q25">
        <v>9.1957699999999998E-4</v>
      </c>
      <c r="R25">
        <v>1.9900500000000001E-4</v>
      </c>
      <c r="S25">
        <v>7.1114699999999997E-4</v>
      </c>
      <c r="T25">
        <v>5.3867800000000001E-4</v>
      </c>
      <c r="U25">
        <v>7.8469E-4</v>
      </c>
      <c r="V25">
        <v>4.5925499999999999E-4</v>
      </c>
      <c r="W25">
        <v>3.0913099999999998E-4</v>
      </c>
      <c r="X25" s="1">
        <v>8.4800000000000001E-5</v>
      </c>
      <c r="Y25" s="1">
        <v>4.5300000000000003E-5</v>
      </c>
      <c r="Z25" s="1">
        <v>9.8099999999999999E-5</v>
      </c>
      <c r="AA25">
        <v>1.4474999999999999E-4</v>
      </c>
      <c r="AB25" s="1">
        <v>9.2200000000000005E-5</v>
      </c>
      <c r="AC25">
        <v>0</v>
      </c>
      <c r="AD25">
        <v>0</v>
      </c>
      <c r="AE25" s="1">
        <v>7.9300000000000003E-5</v>
      </c>
      <c r="AF25" s="1">
        <v>2.9099999999999999E-5</v>
      </c>
      <c r="AG25" s="1">
        <v>5.3100000000000003E-5</v>
      </c>
      <c r="AH25" s="1">
        <v>4.99E-5</v>
      </c>
      <c r="AI25" s="1">
        <v>8.7200000000000005E-5</v>
      </c>
      <c r="AJ25">
        <v>1.1736800000000001E-4</v>
      </c>
      <c r="AK25">
        <v>2.1393000000000001E-4</v>
      </c>
      <c r="AL25">
        <v>3.1357500000000002E-4</v>
      </c>
      <c r="AM25" s="1">
        <v>3.8399999999999998E-5</v>
      </c>
      <c r="AN25" s="1">
        <v>5.3100000000000003E-5</v>
      </c>
      <c r="AO25" s="1">
        <v>7.7399999999999998E-5</v>
      </c>
      <c r="AP25" s="1">
        <v>6.0000000000000002E-5</v>
      </c>
      <c r="AQ25" s="1">
        <v>3.2799999999999998E-5</v>
      </c>
      <c r="AR25" s="1">
        <v>2.7800000000000001E-5</v>
      </c>
      <c r="AS25" s="1">
        <v>2.62E-5</v>
      </c>
      <c r="AT25" s="1">
        <v>5.7000000000000003E-5</v>
      </c>
      <c r="AU25" s="1">
        <v>3.4400000000000003E-5</v>
      </c>
      <c r="AV25" s="1">
        <v>4.2599999999999999E-5</v>
      </c>
      <c r="AW25" s="1">
        <v>6.2799999999999995E-5</v>
      </c>
      <c r="AX25" s="1">
        <v>2.7500000000000001E-5</v>
      </c>
      <c r="AY25" s="1">
        <v>1.9899999999999999E-5</v>
      </c>
      <c r="AZ25" s="1">
        <v>4.4499999999999997E-5</v>
      </c>
      <c r="BA25" s="1">
        <v>3.8000000000000002E-5</v>
      </c>
      <c r="BB25" s="1">
        <v>3.2700000000000002E-5</v>
      </c>
      <c r="BC25">
        <v>0</v>
      </c>
      <c r="BD25">
        <v>0</v>
      </c>
      <c r="BE25">
        <v>2.03842E-4</v>
      </c>
      <c r="BF25">
        <v>3.3519099999999998E-4</v>
      </c>
      <c r="BG25">
        <v>0</v>
      </c>
      <c r="BH25" s="1">
        <v>4.4700000000000002E-5</v>
      </c>
      <c r="BI25">
        <v>1.8896599999999999E-4</v>
      </c>
      <c r="BJ25">
        <v>4.31168E-4</v>
      </c>
      <c r="BK25">
        <v>2.8604299999999999E-4</v>
      </c>
      <c r="BL25">
        <v>0</v>
      </c>
      <c r="BM25">
        <v>2.83906E-4</v>
      </c>
      <c r="BN25">
        <v>1.98094E-4</v>
      </c>
      <c r="BO25">
        <v>1.82874E-4</v>
      </c>
      <c r="BP25">
        <v>1.7475800000000001E-4</v>
      </c>
      <c r="BQ25">
        <v>0</v>
      </c>
      <c r="BR25">
        <v>1.0601499999999999E-4</v>
      </c>
      <c r="BS25">
        <v>2.1963700000000001E-4</v>
      </c>
      <c r="BT25">
        <v>2.5595499999999998E-4</v>
      </c>
      <c r="BU25" s="1">
        <v>7.5599999999999994E-5</v>
      </c>
      <c r="BV25">
        <v>2.5050700000000002E-4</v>
      </c>
      <c r="BW25">
        <v>0</v>
      </c>
      <c r="BX25">
        <v>3.95812E-4</v>
      </c>
      <c r="BY25">
        <v>1.0765E-4</v>
      </c>
      <c r="BZ25" s="1">
        <v>3.9100000000000002E-5</v>
      </c>
      <c r="CA25" s="1">
        <v>3.7100000000000001E-5</v>
      </c>
      <c r="CB25">
        <v>1.08099E-4</v>
      </c>
      <c r="CC25">
        <v>2.0299749999999998E-3</v>
      </c>
      <c r="CD25" s="1">
        <v>2.3300000000000001E-5</v>
      </c>
      <c r="CE25" s="1">
        <v>2.1299999999999999E-5</v>
      </c>
      <c r="CF25" s="1">
        <v>1.9700000000000001E-5</v>
      </c>
      <c r="CG25" s="1">
        <v>6.0300000000000002E-5</v>
      </c>
      <c r="CH25" s="1">
        <v>2.9899999999999998E-5</v>
      </c>
      <c r="CI25" s="1">
        <v>5.13E-5</v>
      </c>
      <c r="CJ25" s="1">
        <v>3.57E-5</v>
      </c>
      <c r="CK25" s="1">
        <v>3.1399999999999998E-5</v>
      </c>
      <c r="CL25" s="1">
        <v>3.0499999999999999E-5</v>
      </c>
      <c r="CM25">
        <v>0</v>
      </c>
      <c r="CN25">
        <v>0</v>
      </c>
      <c r="CO25" s="1">
        <v>3.3200000000000001E-5</v>
      </c>
      <c r="CP25" s="1">
        <v>1.9899999999999999E-5</v>
      </c>
      <c r="CQ25" s="1">
        <v>4.3999999999999999E-5</v>
      </c>
      <c r="CR25" s="1">
        <v>1.3699999999999999E-5</v>
      </c>
      <c r="CS25" s="1">
        <v>4.0500000000000002E-5</v>
      </c>
      <c r="CT25" s="1">
        <v>3.1399999999999998E-5</v>
      </c>
      <c r="CU25" s="1">
        <v>3.1699999999999998E-5</v>
      </c>
      <c r="CV25">
        <v>0</v>
      </c>
      <c r="CW25" s="1">
        <v>1.5699999999999999E-5</v>
      </c>
    </row>
    <row r="26" spans="1:101" x14ac:dyDescent="0.3">
      <c r="A26" t="s">
        <v>49</v>
      </c>
      <c r="B26" s="1">
        <v>9.7E-5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5.3321900000000003E-4</v>
      </c>
      <c r="Q26">
        <v>0</v>
      </c>
      <c r="R26">
        <v>2.4971299999999999E-4</v>
      </c>
      <c r="S26">
        <v>0</v>
      </c>
      <c r="T26">
        <v>0</v>
      </c>
      <c r="U26">
        <v>1.5315000000000001E-4</v>
      </c>
      <c r="V26">
        <v>0</v>
      </c>
      <c r="W26">
        <v>0</v>
      </c>
      <c r="X26">
        <v>0</v>
      </c>
      <c r="Y26">
        <v>0</v>
      </c>
      <c r="Z26">
        <v>0</v>
      </c>
      <c r="AA26">
        <v>3.0078800000000002E-4</v>
      </c>
      <c r="AB26">
        <v>0</v>
      </c>
      <c r="AC26" s="1">
        <v>1.9199999999999999E-5</v>
      </c>
      <c r="AD26" s="1">
        <v>5.13E-5</v>
      </c>
      <c r="AE26">
        <v>0</v>
      </c>
      <c r="AF26" s="1">
        <v>9.5199999999999997E-5</v>
      </c>
      <c r="AG26">
        <v>0</v>
      </c>
      <c r="AH26" s="1">
        <v>5.0000000000000002E-5</v>
      </c>
      <c r="AI26" s="1">
        <v>6.3499999999999999E-5</v>
      </c>
      <c r="AJ26">
        <v>0</v>
      </c>
      <c r="AK26">
        <v>0</v>
      </c>
      <c r="AL26">
        <v>0</v>
      </c>
      <c r="AM26" s="1">
        <v>4.07E-5</v>
      </c>
      <c r="AN26">
        <v>0</v>
      </c>
      <c r="AO26">
        <v>0</v>
      </c>
      <c r="AP26">
        <v>0</v>
      </c>
      <c r="AQ26" s="1">
        <v>2.48E-5</v>
      </c>
      <c r="AR26" s="1">
        <v>2.9200000000000002E-5</v>
      </c>
      <c r="AS26">
        <v>0</v>
      </c>
      <c r="AT26">
        <v>0</v>
      </c>
      <c r="AU26" s="1">
        <v>2.6100000000000001E-5</v>
      </c>
      <c r="AV26" s="1">
        <v>4.3099999999999997E-5</v>
      </c>
      <c r="AW26">
        <v>0</v>
      </c>
      <c r="AX26">
        <v>0</v>
      </c>
      <c r="AY26">
        <v>0</v>
      </c>
      <c r="AZ26" s="1">
        <v>5.7500000000000002E-5</v>
      </c>
      <c r="BA26">
        <v>1.2556700000000001E-4</v>
      </c>
      <c r="BB26">
        <v>6.3925199999999998E-4</v>
      </c>
      <c r="BC26">
        <v>2.4868900000000002E-4</v>
      </c>
      <c r="BD26">
        <v>1.93356E-4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 s="1">
        <v>6.19E-5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7.0845900000000004E-4</v>
      </c>
      <c r="BZ26">
        <v>3.3093400000000001E-4</v>
      </c>
      <c r="CA26">
        <v>3.58153E-4</v>
      </c>
      <c r="CB26">
        <v>1.4190700000000001E-4</v>
      </c>
      <c r="CC26" s="1">
        <v>6.2799999999999995E-5</v>
      </c>
      <c r="CD26">
        <v>1.1282599999999999E-4</v>
      </c>
      <c r="CE26">
        <v>1.8000899999999999E-4</v>
      </c>
      <c r="CF26" s="1">
        <v>5.3699999999999997E-5</v>
      </c>
      <c r="CG26" s="1">
        <v>8.3100000000000001E-5</v>
      </c>
      <c r="CH26" s="1">
        <v>6.5599999999999995E-5</v>
      </c>
      <c r="CI26">
        <v>5.0275700000000005E-4</v>
      </c>
      <c r="CJ26">
        <v>3.0924499999999998E-4</v>
      </c>
      <c r="CK26">
        <v>5.1184500000000003E-4</v>
      </c>
      <c r="CL26">
        <v>1.3426900000000001E-4</v>
      </c>
      <c r="CM26">
        <v>2.3855E-4</v>
      </c>
      <c r="CN26">
        <v>3.0056100000000002E-4</v>
      </c>
      <c r="CO26" s="1">
        <v>8.25E-5</v>
      </c>
      <c r="CP26">
        <v>1.0330799999999999E-4</v>
      </c>
      <c r="CQ26">
        <v>0</v>
      </c>
      <c r="CR26">
        <v>1.06068E-4</v>
      </c>
      <c r="CS26" s="1">
        <v>9.1199999999999994E-5</v>
      </c>
      <c r="CT26">
        <v>1.1178700000000001E-4</v>
      </c>
      <c r="CU26">
        <v>1.7453299999999999E-4</v>
      </c>
      <c r="CV26" s="1">
        <v>8.8300000000000005E-5</v>
      </c>
      <c r="CW26">
        <v>1.34196E-4</v>
      </c>
    </row>
    <row r="27" spans="1:101" x14ac:dyDescent="0.3">
      <c r="A27" t="s">
        <v>50</v>
      </c>
      <c r="B27">
        <v>3.7033500000000001E-4</v>
      </c>
      <c r="C27">
        <v>4.4502000000000002E-4</v>
      </c>
      <c r="D27">
        <v>2.7146199999999998E-4</v>
      </c>
      <c r="E27">
        <v>4.4969600000000003E-4</v>
      </c>
      <c r="F27">
        <v>5.5352199999999998E-4</v>
      </c>
      <c r="G27">
        <v>1.5935999999999999E-4</v>
      </c>
      <c r="H27" s="1">
        <v>9.9400000000000004E-5</v>
      </c>
      <c r="I27">
        <v>3.0200799999999999E-4</v>
      </c>
      <c r="J27">
        <v>0</v>
      </c>
      <c r="K27">
        <v>1.6785899999999999E-4</v>
      </c>
      <c r="L27">
        <v>1.19653E-4</v>
      </c>
      <c r="M27" s="1">
        <v>5.3600000000000002E-5</v>
      </c>
      <c r="N27">
        <v>1.6998800000000001E-4</v>
      </c>
      <c r="O27" s="1">
        <v>8.5599999999999994E-5</v>
      </c>
      <c r="P27">
        <v>1.85716E-4</v>
      </c>
      <c r="Q27">
        <v>2.1003699999999999E-4</v>
      </c>
      <c r="R27">
        <v>0</v>
      </c>
      <c r="S27">
        <v>0</v>
      </c>
      <c r="T27">
        <v>0</v>
      </c>
      <c r="U27">
        <v>1.8714900000000001E-4</v>
      </c>
      <c r="V27">
        <v>1.5446599999999999E-4</v>
      </c>
      <c r="W27">
        <v>1.82437E-4</v>
      </c>
      <c r="X27" s="1">
        <v>5.2800000000000003E-5</v>
      </c>
      <c r="Y27">
        <v>0</v>
      </c>
      <c r="Z27" s="1">
        <v>8.7200000000000005E-5</v>
      </c>
      <c r="AA27">
        <v>3.87842E-4</v>
      </c>
      <c r="AB27">
        <v>1.20656E-4</v>
      </c>
      <c r="AC27">
        <v>3.56611E-4</v>
      </c>
      <c r="AD27">
        <v>2.0811399999999999E-4</v>
      </c>
      <c r="AE27">
        <v>3.5589900000000002E-4</v>
      </c>
      <c r="AF27">
        <v>1.13421E-4</v>
      </c>
      <c r="AG27" s="1">
        <v>4.3399999999999998E-5</v>
      </c>
      <c r="AH27" s="1">
        <v>4.9400000000000001E-5</v>
      </c>
      <c r="AI27">
        <v>0</v>
      </c>
      <c r="AJ27" s="1">
        <v>2.55E-5</v>
      </c>
      <c r="AK27" s="1">
        <v>7.2700000000000005E-5</v>
      </c>
      <c r="AL27" s="1">
        <v>4.8099999999999997E-5</v>
      </c>
      <c r="AM27" s="1">
        <v>4.7500000000000003E-5</v>
      </c>
      <c r="AN27" s="1">
        <v>2.1699999999999999E-5</v>
      </c>
      <c r="AO27" s="1">
        <v>2.23E-5</v>
      </c>
      <c r="AP27" s="1">
        <v>1.49E-5</v>
      </c>
      <c r="AQ27">
        <v>0</v>
      </c>
      <c r="AR27" s="1">
        <v>1.0000000000000001E-5</v>
      </c>
      <c r="AS27" s="1">
        <v>1.22E-5</v>
      </c>
      <c r="AT27" s="1">
        <v>1.45E-5</v>
      </c>
      <c r="AU27">
        <v>0</v>
      </c>
      <c r="AV27" s="1">
        <v>1.7E-5</v>
      </c>
      <c r="AW27" s="1">
        <v>1.2099999999999999E-5</v>
      </c>
      <c r="AX27">
        <v>0</v>
      </c>
      <c r="AY27" s="1">
        <v>1.38E-5</v>
      </c>
      <c r="AZ27">
        <v>1.64859E-4</v>
      </c>
      <c r="BA27">
        <v>2.7008799999999998E-4</v>
      </c>
      <c r="BB27">
        <v>1.82511E-4</v>
      </c>
      <c r="BC27">
        <v>1.73711E-4</v>
      </c>
      <c r="BD27">
        <v>3.4974099999999998E-4</v>
      </c>
      <c r="BE27">
        <v>1.9631999999999999E-4</v>
      </c>
      <c r="BF27">
        <v>2.33234E-4</v>
      </c>
      <c r="BG27">
        <v>2.0589E-4</v>
      </c>
      <c r="BH27" s="1">
        <v>7.4200000000000001E-5</v>
      </c>
      <c r="BI27">
        <v>2.2202699999999999E-4</v>
      </c>
      <c r="BJ27">
        <v>0</v>
      </c>
      <c r="BK27">
        <v>1.24287E-4</v>
      </c>
      <c r="BL27" s="1">
        <v>1.6399999999999999E-5</v>
      </c>
      <c r="BM27">
        <v>2.15584E-4</v>
      </c>
      <c r="BN27">
        <v>0</v>
      </c>
      <c r="BO27" s="1">
        <v>6.6400000000000001E-5</v>
      </c>
      <c r="BP27">
        <v>0</v>
      </c>
      <c r="BQ27" s="1">
        <v>7.3999999999999996E-5</v>
      </c>
      <c r="BR27" s="1">
        <v>7.1600000000000006E-5</v>
      </c>
      <c r="BS27" s="1">
        <v>9.7200000000000004E-5</v>
      </c>
      <c r="BT27">
        <v>0</v>
      </c>
      <c r="BU27" s="1">
        <v>3.0499999999999999E-5</v>
      </c>
      <c r="BV27">
        <v>4.3058799999999998E-4</v>
      </c>
      <c r="BW27" s="1">
        <v>2.8900000000000001E-5</v>
      </c>
      <c r="BX27">
        <v>1.06914E-4</v>
      </c>
      <c r="BY27">
        <v>1.9803600000000001E-4</v>
      </c>
      <c r="BZ27">
        <v>1.7133299999999999E-4</v>
      </c>
      <c r="CA27">
        <v>1.9589999999999999E-4</v>
      </c>
      <c r="CB27">
        <v>3.1775E-4</v>
      </c>
      <c r="CC27">
        <v>2.4199399999999999E-4</v>
      </c>
      <c r="CD27" s="1">
        <v>3.5599999999999998E-5</v>
      </c>
      <c r="CE27" s="1">
        <v>6.0600000000000003E-5</v>
      </c>
      <c r="CF27" s="1">
        <v>4.5200000000000001E-5</v>
      </c>
      <c r="CG27" s="1">
        <v>2.8200000000000001E-5</v>
      </c>
      <c r="CH27" s="1">
        <v>1.56E-5</v>
      </c>
      <c r="CI27" s="1">
        <v>5.1199999999999998E-5</v>
      </c>
      <c r="CJ27" s="1">
        <v>4.2700000000000001E-5</v>
      </c>
      <c r="CK27" s="1">
        <v>4.5599999999999997E-5</v>
      </c>
      <c r="CL27" s="1">
        <v>4.9599999999999999E-5</v>
      </c>
      <c r="CM27" s="1">
        <v>3.65E-5</v>
      </c>
      <c r="CN27" s="1">
        <v>3.7100000000000001E-5</v>
      </c>
      <c r="CO27" s="1">
        <v>1.7200000000000001E-5</v>
      </c>
      <c r="CP27" s="1">
        <v>2.1699999999999999E-5</v>
      </c>
      <c r="CQ27" s="1">
        <v>2.6599999999999999E-5</v>
      </c>
      <c r="CR27" s="1">
        <v>3.6999999999999998E-5</v>
      </c>
      <c r="CS27" s="1">
        <v>2.2099999999999998E-5</v>
      </c>
      <c r="CT27" s="1">
        <v>1.7600000000000001E-5</v>
      </c>
      <c r="CU27" s="1">
        <v>3.3399999999999999E-5</v>
      </c>
      <c r="CV27" s="1">
        <v>1.6399999999999999E-5</v>
      </c>
      <c r="CW27" s="1">
        <v>3.3099999999999998E-5</v>
      </c>
    </row>
    <row r="28" spans="1:101" x14ac:dyDescent="0.3">
      <c r="A28" t="s">
        <v>51</v>
      </c>
      <c r="B28" s="1">
        <v>4.0800000000000002E-5</v>
      </c>
      <c r="C28" s="1">
        <v>2.8799999999999999E-5</v>
      </c>
      <c r="D28">
        <v>0</v>
      </c>
      <c r="E28" s="1">
        <v>1.8499999999999999E-5</v>
      </c>
      <c r="F28" s="1">
        <v>4.8699999999999998E-5</v>
      </c>
      <c r="G28">
        <v>0</v>
      </c>
      <c r="H28" s="1">
        <v>3.57E-5</v>
      </c>
      <c r="I28" s="1">
        <v>6.4200000000000002E-5</v>
      </c>
      <c r="J28">
        <v>0</v>
      </c>
      <c r="K28" s="1">
        <v>4.74E-5</v>
      </c>
      <c r="L28">
        <v>1.6371800000000001E-4</v>
      </c>
      <c r="M28">
        <v>3.0474099999999997E-4</v>
      </c>
      <c r="N28">
        <v>2.33513E-4</v>
      </c>
      <c r="O28">
        <v>1.85086E-4</v>
      </c>
      <c r="P28">
        <v>1.5094199999999999E-4</v>
      </c>
      <c r="Q28" s="1">
        <v>2.3E-5</v>
      </c>
      <c r="R28" s="1">
        <v>2.4600000000000002E-5</v>
      </c>
      <c r="S28">
        <v>0</v>
      </c>
      <c r="T28">
        <v>0</v>
      </c>
      <c r="U28" s="1">
        <v>4.6400000000000003E-5</v>
      </c>
      <c r="V28">
        <v>0</v>
      </c>
      <c r="W28" s="1">
        <v>5.1100000000000002E-5</v>
      </c>
      <c r="X28" s="1">
        <v>6.9400000000000006E-5</v>
      </c>
      <c r="Y28" s="1">
        <v>5.8600000000000001E-5</v>
      </c>
      <c r="Z28" s="1">
        <v>8.8900000000000006E-5</v>
      </c>
      <c r="AA28" s="1">
        <v>4.8699999999999998E-5</v>
      </c>
      <c r="AB28" s="1">
        <v>3.4499999999999998E-5</v>
      </c>
      <c r="AC28">
        <v>0</v>
      </c>
      <c r="AD28" s="1">
        <v>3.4199999999999998E-5</v>
      </c>
      <c r="AE28" s="1">
        <v>5.3300000000000001E-5</v>
      </c>
      <c r="AF28" s="1">
        <v>2.7900000000000001E-5</v>
      </c>
      <c r="AG28" s="1">
        <v>5.0399999999999999E-5</v>
      </c>
      <c r="AH28" s="1">
        <v>4.1199999999999999E-5</v>
      </c>
      <c r="AI28" s="1">
        <v>5.2299999999999997E-5</v>
      </c>
      <c r="AJ28" s="1">
        <v>4.6799999999999999E-5</v>
      </c>
      <c r="AK28" s="1">
        <v>7.4999999999999993E-5</v>
      </c>
      <c r="AL28" s="1">
        <v>9.3599999999999998E-5</v>
      </c>
      <c r="AM28" s="1">
        <v>8.2799999999999993E-5</v>
      </c>
      <c r="AN28" s="1">
        <v>5.8999999999999998E-5</v>
      </c>
      <c r="AO28" s="1">
        <v>4.6499999999999999E-5</v>
      </c>
      <c r="AP28" s="1">
        <v>7.6000000000000004E-5</v>
      </c>
      <c r="AQ28" s="1">
        <v>5.3900000000000002E-5</v>
      </c>
      <c r="AR28" s="1">
        <v>4.6100000000000002E-5</v>
      </c>
      <c r="AS28" s="1">
        <v>6.2000000000000003E-5</v>
      </c>
      <c r="AT28" s="1">
        <v>4.9700000000000002E-5</v>
      </c>
      <c r="AU28" s="1">
        <v>5.5600000000000003E-5</v>
      </c>
      <c r="AV28" s="1">
        <v>7.0199999999999999E-5</v>
      </c>
      <c r="AW28" s="1">
        <v>6.7399999999999998E-5</v>
      </c>
      <c r="AX28" s="1">
        <v>5.7800000000000002E-5</v>
      </c>
      <c r="AY28" s="1">
        <v>5.2099999999999999E-5</v>
      </c>
      <c r="AZ28" s="1">
        <v>2.3499999999999999E-5</v>
      </c>
      <c r="BA28" s="1">
        <v>2.3900000000000002E-5</v>
      </c>
      <c r="BB28" s="1">
        <v>4.1100000000000003E-5</v>
      </c>
      <c r="BC28" s="1">
        <v>2.0000000000000002E-5</v>
      </c>
      <c r="BD28" s="1">
        <v>2.5000000000000001E-5</v>
      </c>
      <c r="BE28" s="1">
        <v>4.2599999999999999E-5</v>
      </c>
      <c r="BF28" s="1">
        <v>4.6E-5</v>
      </c>
      <c r="BG28" s="1">
        <v>1.9899999999999999E-5</v>
      </c>
      <c r="BH28" s="1">
        <v>5.6400000000000002E-5</v>
      </c>
      <c r="BI28" s="1">
        <v>4.3999999999999999E-5</v>
      </c>
      <c r="BJ28">
        <v>0</v>
      </c>
      <c r="BK28">
        <v>1.2513499999999999E-4</v>
      </c>
      <c r="BL28" s="1">
        <v>9.8499999999999995E-5</v>
      </c>
      <c r="BM28" s="1">
        <v>7.1500000000000003E-5</v>
      </c>
      <c r="BN28" s="1">
        <v>8.5699999999999996E-5</v>
      </c>
      <c r="BO28" s="1">
        <v>5.2099999999999999E-5</v>
      </c>
      <c r="BP28" s="1">
        <v>3.1300000000000002E-5</v>
      </c>
      <c r="BQ28" s="1">
        <v>3.1999999999999999E-5</v>
      </c>
      <c r="BR28" s="1">
        <v>5.57E-6</v>
      </c>
      <c r="BS28" s="1">
        <v>1.7099999999999999E-5</v>
      </c>
      <c r="BT28" s="1">
        <v>6.2399999999999999E-5</v>
      </c>
      <c r="BU28" s="1">
        <v>5.3399999999999997E-5</v>
      </c>
      <c r="BV28" s="1">
        <v>2.4499999999999999E-5</v>
      </c>
      <c r="BW28" s="1">
        <v>1.7600000000000001E-5</v>
      </c>
      <c r="BX28">
        <v>0</v>
      </c>
      <c r="BY28" s="1">
        <v>4.46E-5</v>
      </c>
      <c r="BZ28" s="1">
        <v>3.7200000000000003E-5</v>
      </c>
      <c r="CA28" s="1">
        <v>3.26E-5</v>
      </c>
      <c r="CB28" s="1">
        <v>5.3699999999999997E-5</v>
      </c>
      <c r="CC28" s="1">
        <v>2.73E-5</v>
      </c>
      <c r="CD28" s="1">
        <v>4.6499999999999999E-5</v>
      </c>
      <c r="CE28" s="1">
        <v>5.1E-5</v>
      </c>
      <c r="CF28" s="1">
        <v>4.5399999999999999E-5</v>
      </c>
      <c r="CG28" s="1">
        <v>5.8999999999999998E-5</v>
      </c>
      <c r="CH28" s="1">
        <v>3.9900000000000001E-5</v>
      </c>
      <c r="CI28" s="1">
        <v>7.1199999999999996E-5</v>
      </c>
      <c r="CJ28" s="1">
        <v>6.0399999999999998E-5</v>
      </c>
      <c r="CK28" s="1">
        <v>5.8499999999999999E-5</v>
      </c>
      <c r="CL28" s="1">
        <v>3.9100000000000002E-5</v>
      </c>
      <c r="CM28" s="1">
        <v>4.4700000000000002E-5</v>
      </c>
      <c r="CN28" s="1">
        <v>6.8100000000000002E-5</v>
      </c>
      <c r="CO28" s="1">
        <v>6.5599999999999995E-5</v>
      </c>
      <c r="CP28" s="1">
        <v>6.4599999999999998E-5</v>
      </c>
      <c r="CQ28" s="1">
        <v>5.5899999999999997E-5</v>
      </c>
      <c r="CR28" s="1">
        <v>5.66E-5</v>
      </c>
      <c r="CS28" s="1">
        <v>7.8399999999999995E-5</v>
      </c>
      <c r="CT28" s="1">
        <v>7.6600000000000005E-5</v>
      </c>
      <c r="CU28" s="1">
        <v>7.6299999999999998E-5</v>
      </c>
      <c r="CV28" s="1">
        <v>8.2000000000000001E-5</v>
      </c>
      <c r="CW28" s="1">
        <v>6.0399999999999998E-5</v>
      </c>
    </row>
    <row r="29" spans="1:101" x14ac:dyDescent="0.3">
      <c r="A29" t="s">
        <v>52</v>
      </c>
      <c r="B29">
        <v>8.3511399999999997E-4</v>
      </c>
      <c r="C29">
        <v>7.8199699999999999E-4</v>
      </c>
      <c r="D29">
        <v>8.00411E-4</v>
      </c>
      <c r="E29">
        <v>7.19777E-4</v>
      </c>
      <c r="F29">
        <v>1.231128E-3</v>
      </c>
      <c r="G29">
        <v>0</v>
      </c>
      <c r="H29">
        <v>2.8932250000000001E-3</v>
      </c>
      <c r="I29">
        <v>2.05179E-3</v>
      </c>
      <c r="J29">
        <v>0</v>
      </c>
      <c r="K29">
        <v>9.1565600000000004E-4</v>
      </c>
      <c r="L29">
        <v>0</v>
      </c>
      <c r="M29">
        <v>0</v>
      </c>
      <c r="N29">
        <v>2.512144E-3</v>
      </c>
      <c r="O29">
        <v>1.8012589999999999E-3</v>
      </c>
      <c r="P29">
        <v>1.340588E-3</v>
      </c>
      <c r="Q29">
        <v>2.5518540000000001E-3</v>
      </c>
      <c r="R29">
        <v>5.7443100000000003E-4</v>
      </c>
      <c r="S29">
        <v>2.7530440000000001E-3</v>
      </c>
      <c r="T29">
        <v>3.1136369999999998E-3</v>
      </c>
      <c r="U29">
        <v>5.1363270000000004E-3</v>
      </c>
      <c r="V29">
        <v>1.9627410000000001E-3</v>
      </c>
      <c r="W29">
        <v>2.7677869999999999E-3</v>
      </c>
      <c r="X29">
        <v>3.5188229999999999E-3</v>
      </c>
      <c r="Y29">
        <v>0</v>
      </c>
      <c r="Z29">
        <v>3.1748119999999999E-3</v>
      </c>
      <c r="AA29">
        <v>4.3664630000000001E-3</v>
      </c>
      <c r="AB29">
        <v>0</v>
      </c>
      <c r="AC29">
        <v>1.463088E-3</v>
      </c>
      <c r="AD29">
        <v>6.0502699999999995E-4</v>
      </c>
      <c r="AE29">
        <v>0</v>
      </c>
      <c r="AF29">
        <v>2.1905539999999999E-3</v>
      </c>
      <c r="AG29">
        <v>1.014048E-3</v>
      </c>
      <c r="AH29">
        <v>3.0439900000000001E-4</v>
      </c>
      <c r="AI29">
        <v>1.657602E-3</v>
      </c>
      <c r="AJ29">
        <v>5.2959299999999997E-4</v>
      </c>
      <c r="AK29">
        <v>4.5049479999999999E-3</v>
      </c>
      <c r="AL29">
        <v>1.0644601E-2</v>
      </c>
      <c r="AM29">
        <v>2.1004460000000002E-3</v>
      </c>
      <c r="AN29">
        <v>1.66567E-3</v>
      </c>
      <c r="AO29">
        <v>1.901572E-3</v>
      </c>
      <c r="AP29">
        <v>4.28589E-4</v>
      </c>
      <c r="AQ29">
        <v>5.9144999999999998E-4</v>
      </c>
      <c r="AR29">
        <v>3.17743E-4</v>
      </c>
      <c r="AS29">
        <v>2.7290000000000002E-4</v>
      </c>
      <c r="AT29">
        <v>7.5105500000000004E-4</v>
      </c>
      <c r="AU29">
        <v>5.4796999999999995E-4</v>
      </c>
      <c r="AV29">
        <v>5.9049899999999997E-4</v>
      </c>
      <c r="AW29">
        <v>5.5188999999999998E-4</v>
      </c>
      <c r="AX29">
        <v>3.8448300000000003E-4</v>
      </c>
      <c r="AY29">
        <v>3.3180299999999998E-4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1.041464E-3</v>
      </c>
      <c r="BF29">
        <v>5.4290999999999996E-4</v>
      </c>
      <c r="BG29">
        <v>0</v>
      </c>
      <c r="BH29">
        <v>1.65623E-4</v>
      </c>
      <c r="BI29">
        <v>1.4820219999999999E-3</v>
      </c>
      <c r="BJ29">
        <v>0</v>
      </c>
      <c r="BK29">
        <v>0</v>
      </c>
      <c r="BL29">
        <v>0</v>
      </c>
      <c r="BM29">
        <v>2.102732E-3</v>
      </c>
      <c r="BN29">
        <v>5.9701299999999997E-4</v>
      </c>
      <c r="BO29">
        <v>5.3032600000000002E-4</v>
      </c>
      <c r="BP29">
        <v>1.0336830000000001E-3</v>
      </c>
      <c r="BQ29">
        <v>2.9613320000000001E-3</v>
      </c>
      <c r="BR29">
        <v>5.18006E-4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1.0745289E-2</v>
      </c>
      <c r="BZ29">
        <v>0</v>
      </c>
      <c r="CA29">
        <v>0</v>
      </c>
      <c r="CB29">
        <v>9.0758500000000003E-4</v>
      </c>
      <c r="CC29">
        <v>5.8396499999999998E-4</v>
      </c>
      <c r="CD29">
        <v>9.1763999999999995E-4</v>
      </c>
      <c r="CE29">
        <v>5.9521800000000001E-4</v>
      </c>
      <c r="CF29">
        <v>0</v>
      </c>
      <c r="CG29">
        <v>1.374634E-3</v>
      </c>
      <c r="CH29">
        <v>9.5448400000000002E-4</v>
      </c>
      <c r="CI29">
        <v>1.166077E-3</v>
      </c>
      <c r="CJ29">
        <v>1.136354E-3</v>
      </c>
      <c r="CK29">
        <v>1.6233129999999999E-3</v>
      </c>
      <c r="CL29">
        <v>0</v>
      </c>
      <c r="CM29">
        <v>8.4242699999999998E-4</v>
      </c>
      <c r="CN29">
        <v>0</v>
      </c>
      <c r="CO29">
        <v>2.4408110000000002E-3</v>
      </c>
      <c r="CP29">
        <v>5.7422099999999998E-4</v>
      </c>
      <c r="CQ29">
        <v>1.3624780000000001E-3</v>
      </c>
      <c r="CR29">
        <v>1.33239E-4</v>
      </c>
      <c r="CS29">
        <v>7.6701600000000003E-4</v>
      </c>
      <c r="CT29">
        <v>8.3688199999999995E-4</v>
      </c>
      <c r="CU29">
        <v>5.4210200000000004E-4</v>
      </c>
      <c r="CV29">
        <v>1.169659E-3</v>
      </c>
      <c r="CW29">
        <v>4.6535800000000003E-4</v>
      </c>
    </row>
    <row r="30" spans="1:101" x14ac:dyDescent="0.3">
      <c r="A30" t="s">
        <v>53</v>
      </c>
      <c r="B30">
        <v>1.09306E-4</v>
      </c>
      <c r="C30">
        <v>1.2264399999999999E-4</v>
      </c>
      <c r="D30">
        <v>0</v>
      </c>
      <c r="E30">
        <v>0</v>
      </c>
      <c r="F30">
        <v>0</v>
      </c>
      <c r="G30">
        <v>3.3152499999999999E-4</v>
      </c>
      <c r="H30" s="1">
        <v>6.1500000000000004E-5</v>
      </c>
      <c r="I30">
        <v>0</v>
      </c>
      <c r="J30">
        <v>0</v>
      </c>
      <c r="K30">
        <v>1.03582E-4</v>
      </c>
      <c r="L30">
        <v>1.8357599999999999E-4</v>
      </c>
      <c r="M30">
        <v>0</v>
      </c>
      <c r="N30">
        <v>1.4829E-4</v>
      </c>
      <c r="O30">
        <v>0</v>
      </c>
      <c r="P30">
        <v>0</v>
      </c>
      <c r="Q30">
        <v>7.5529299999999998E-4</v>
      </c>
      <c r="R30">
        <v>4.6299900000000002E-4</v>
      </c>
      <c r="S30">
        <v>5.4744699999999995E-4</v>
      </c>
      <c r="T30">
        <v>6.6238899999999999E-4</v>
      </c>
      <c r="U30">
        <v>9.0884099999999997E-4</v>
      </c>
      <c r="V30">
        <v>3.2952699999999998E-4</v>
      </c>
      <c r="W30">
        <v>3.4980500000000002E-4</v>
      </c>
      <c r="X30">
        <v>1.20845E-4</v>
      </c>
      <c r="Y30">
        <v>1.3322200000000001E-4</v>
      </c>
      <c r="Z30">
        <v>1.6342900000000001E-4</v>
      </c>
      <c r="AA30">
        <v>0</v>
      </c>
      <c r="AB30">
        <v>0</v>
      </c>
      <c r="AC30">
        <v>0</v>
      </c>
      <c r="AD30" s="1">
        <v>3.7299999999999999E-6</v>
      </c>
      <c r="AE30">
        <v>0</v>
      </c>
      <c r="AF30">
        <v>4.4988299999999999E-4</v>
      </c>
      <c r="AG30">
        <v>1.4824200000000001E-4</v>
      </c>
      <c r="AH30">
        <v>1.2680100000000001E-4</v>
      </c>
      <c r="AI30">
        <v>1.10783E-4</v>
      </c>
      <c r="AJ30">
        <v>1.02229E-4</v>
      </c>
      <c r="AK30">
        <v>2.6932300000000002E-4</v>
      </c>
      <c r="AL30">
        <v>4.9071E-4</v>
      </c>
      <c r="AM30">
        <v>3.2460699999999998E-4</v>
      </c>
      <c r="AN30">
        <v>2.8137099999999999E-4</v>
      </c>
      <c r="AO30">
        <v>2.2075400000000001E-4</v>
      </c>
      <c r="AP30">
        <v>1.4709799999999999E-4</v>
      </c>
      <c r="AQ30">
        <v>2.2597200000000001E-4</v>
      </c>
      <c r="AR30">
        <v>1.59798E-4</v>
      </c>
      <c r="AS30">
        <v>1.8120699999999999E-4</v>
      </c>
      <c r="AT30">
        <v>1.0685E-4</v>
      </c>
      <c r="AU30">
        <v>1.6344600000000001E-4</v>
      </c>
      <c r="AV30">
        <v>1.7880399999999999E-4</v>
      </c>
      <c r="AW30">
        <v>2.37099E-4</v>
      </c>
      <c r="AX30">
        <v>1.33781E-4</v>
      </c>
      <c r="AY30">
        <v>1.1210299999999999E-4</v>
      </c>
      <c r="AZ30">
        <v>0</v>
      </c>
      <c r="BA30">
        <v>0</v>
      </c>
      <c r="BB30" s="1">
        <v>4.8600000000000002E-5</v>
      </c>
      <c r="BC30" s="1">
        <v>2.6699999999999998E-5</v>
      </c>
      <c r="BD30">
        <v>0</v>
      </c>
      <c r="BE30">
        <v>8.8908300000000004E-4</v>
      </c>
      <c r="BF30">
        <v>1.03803E-4</v>
      </c>
      <c r="BG30" s="1">
        <v>9.2700000000000004E-5</v>
      </c>
      <c r="BH30">
        <v>0</v>
      </c>
      <c r="BI30">
        <v>5.7273800000000004E-4</v>
      </c>
      <c r="BJ30">
        <v>1.4820499999999999E-4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5.0167400000000002E-4</v>
      </c>
      <c r="BQ30">
        <v>4.22275E-4</v>
      </c>
      <c r="BR30">
        <v>3.3848500000000002E-4</v>
      </c>
      <c r="BS30">
        <v>4.7409200000000001E-4</v>
      </c>
      <c r="BT30">
        <v>1.21685E-4</v>
      </c>
      <c r="BU30">
        <v>1.4697199999999999E-4</v>
      </c>
      <c r="BV30">
        <v>0</v>
      </c>
      <c r="BW30" s="1">
        <v>8.2999999999999998E-5</v>
      </c>
      <c r="BX30" s="1">
        <v>5.1199999999999998E-5</v>
      </c>
      <c r="BY30">
        <v>0</v>
      </c>
      <c r="BZ30" s="1">
        <v>2.08E-6</v>
      </c>
      <c r="CA30">
        <v>0</v>
      </c>
      <c r="CB30">
        <v>1.8974399999999999E-4</v>
      </c>
      <c r="CC30">
        <v>0</v>
      </c>
      <c r="CD30">
        <v>1.7734000000000001E-4</v>
      </c>
      <c r="CE30">
        <v>1.8686000000000001E-4</v>
      </c>
      <c r="CF30">
        <v>1.9318199999999999E-4</v>
      </c>
      <c r="CG30">
        <v>2.8830700000000002E-4</v>
      </c>
      <c r="CH30">
        <v>1.5477899999999999E-4</v>
      </c>
      <c r="CI30">
        <v>1.4871099999999999E-4</v>
      </c>
      <c r="CJ30">
        <v>2.3433300000000001E-4</v>
      </c>
      <c r="CK30">
        <v>1.9597899999999999E-4</v>
      </c>
      <c r="CL30">
        <v>1.3620799999999999E-4</v>
      </c>
      <c r="CM30">
        <v>1.93542E-4</v>
      </c>
      <c r="CN30">
        <v>1.6750399999999999E-4</v>
      </c>
      <c r="CO30">
        <v>1.9963899999999999E-4</v>
      </c>
      <c r="CP30">
        <v>1.48978E-4</v>
      </c>
      <c r="CQ30">
        <v>1.35263E-4</v>
      </c>
      <c r="CR30">
        <v>1.4534300000000001E-4</v>
      </c>
      <c r="CS30">
        <v>1.8734399999999999E-4</v>
      </c>
      <c r="CT30">
        <v>1.90719E-4</v>
      </c>
      <c r="CU30">
        <v>1.87813E-4</v>
      </c>
      <c r="CV30">
        <v>1.48331E-4</v>
      </c>
      <c r="CW30">
        <v>1.47956E-4</v>
      </c>
    </row>
    <row r="31" spans="1:101" x14ac:dyDescent="0.3">
      <c r="A31" t="s">
        <v>54</v>
      </c>
      <c r="B31">
        <v>2.8551599999999998E-3</v>
      </c>
      <c r="C31">
        <v>3.9699399999999999E-3</v>
      </c>
      <c r="D31">
        <v>1.1119070000000001E-3</v>
      </c>
      <c r="E31">
        <v>8.9405699999999997E-4</v>
      </c>
      <c r="F31">
        <v>1.784335E-3</v>
      </c>
      <c r="G31">
        <v>1.9913999999999999E-3</v>
      </c>
      <c r="H31">
        <v>2.381696E-3</v>
      </c>
      <c r="I31">
        <v>8.9439200000000004E-4</v>
      </c>
      <c r="J31">
        <v>1.0394919999999999E-3</v>
      </c>
      <c r="K31">
        <v>8.3677700000000003E-4</v>
      </c>
      <c r="L31">
        <v>4.2530220000000004E-3</v>
      </c>
      <c r="M31">
        <v>5.0597680000000001E-3</v>
      </c>
      <c r="N31">
        <v>4.2013559999999998E-3</v>
      </c>
      <c r="O31">
        <v>5.2138800000000002E-4</v>
      </c>
      <c r="P31">
        <v>2.7187840000000001E-3</v>
      </c>
      <c r="Q31">
        <v>3.607819E-3</v>
      </c>
      <c r="R31">
        <v>1.9328769999999999E-3</v>
      </c>
      <c r="S31">
        <v>2.157862E-3</v>
      </c>
      <c r="T31">
        <v>1.353365E-3</v>
      </c>
      <c r="U31">
        <v>3.401678E-3</v>
      </c>
      <c r="V31">
        <v>1.1102729999999999E-3</v>
      </c>
      <c r="W31">
        <v>6.5200900000000005E-4</v>
      </c>
      <c r="X31">
        <v>3.8163500000000001E-4</v>
      </c>
      <c r="Y31">
        <v>2.05102E-4</v>
      </c>
      <c r="Z31">
        <v>2.5825799999999998E-4</v>
      </c>
      <c r="AA31">
        <v>5.9988100000000003E-4</v>
      </c>
      <c r="AB31">
        <v>5.1085699999999998E-4</v>
      </c>
      <c r="AC31">
        <v>4.0812900000000002E-4</v>
      </c>
      <c r="AD31">
        <v>1.19425E-3</v>
      </c>
      <c r="AE31">
        <v>2.9960400000000003E-4</v>
      </c>
      <c r="AF31">
        <v>1.3286109999999999E-3</v>
      </c>
      <c r="AG31">
        <v>6.3446900000000003E-4</v>
      </c>
      <c r="AH31">
        <v>3.6042300000000002E-4</v>
      </c>
      <c r="AI31">
        <v>1.1201220000000001E-3</v>
      </c>
      <c r="AJ31">
        <v>3.2608399999999998E-4</v>
      </c>
      <c r="AK31">
        <v>2.8503339999999999E-3</v>
      </c>
      <c r="AL31">
        <v>4.6249669999999998E-3</v>
      </c>
      <c r="AM31">
        <v>9.5339999999999997E-4</v>
      </c>
      <c r="AN31">
        <v>5.3239499999999996E-4</v>
      </c>
      <c r="AO31">
        <v>3.5138299999999998E-4</v>
      </c>
      <c r="AP31">
        <v>5.2400999999999999E-4</v>
      </c>
      <c r="AQ31">
        <v>3.9391300000000002E-4</v>
      </c>
      <c r="AR31">
        <v>2.20034E-4</v>
      </c>
      <c r="AS31">
        <v>3.0789000000000001E-4</v>
      </c>
      <c r="AT31">
        <v>1.67753E-4</v>
      </c>
      <c r="AU31">
        <v>4.0152599999999998E-4</v>
      </c>
      <c r="AV31">
        <v>5.1715400000000003E-4</v>
      </c>
      <c r="AW31">
        <v>6.3643399999999996E-4</v>
      </c>
      <c r="AX31">
        <v>1.23101E-4</v>
      </c>
      <c r="AY31">
        <v>1.25389E-4</v>
      </c>
      <c r="AZ31">
        <v>3.48864E-4</v>
      </c>
      <c r="BA31">
        <v>3.3665300000000002E-4</v>
      </c>
      <c r="BB31">
        <v>2.8747899999999999E-4</v>
      </c>
      <c r="BC31" s="1">
        <v>7.2999999999999999E-5</v>
      </c>
      <c r="BD31" s="1">
        <v>8.2399999999999997E-5</v>
      </c>
      <c r="BE31">
        <v>6.8081000000000001E-4</v>
      </c>
      <c r="BF31">
        <v>1.180967E-3</v>
      </c>
      <c r="BG31">
        <v>2.5372440000000001E-3</v>
      </c>
      <c r="BH31">
        <v>2.03845E-4</v>
      </c>
      <c r="BI31">
        <v>9.7351399999999998E-4</v>
      </c>
      <c r="BJ31">
        <v>5.4903089999999996E-3</v>
      </c>
      <c r="BK31">
        <v>1.9577100000000001E-3</v>
      </c>
      <c r="BL31">
        <v>8.0785299999999998E-4</v>
      </c>
      <c r="BM31">
        <v>3.3084299999999998E-3</v>
      </c>
      <c r="BN31">
        <v>8.04432E-4</v>
      </c>
      <c r="BO31">
        <v>3.9060800000000003E-4</v>
      </c>
      <c r="BP31">
        <v>7.6453199999999995E-4</v>
      </c>
      <c r="BQ31">
        <v>8.8475000000000001E-4</v>
      </c>
      <c r="BR31">
        <v>6.0822199999999995E-4</v>
      </c>
      <c r="BS31">
        <v>1.007059E-3</v>
      </c>
      <c r="BT31">
        <v>1.2702989999999999E-3</v>
      </c>
      <c r="BU31">
        <v>2.8055000000000002E-4</v>
      </c>
      <c r="BV31">
        <v>7.8790100000000003E-4</v>
      </c>
      <c r="BW31">
        <v>7.0407E-4</v>
      </c>
      <c r="BX31">
        <v>2.9717760000000002E-3</v>
      </c>
      <c r="BY31">
        <v>6.8982500000000003E-4</v>
      </c>
      <c r="BZ31">
        <v>4.24926E-4</v>
      </c>
      <c r="CA31">
        <v>3.3251599999999999E-4</v>
      </c>
      <c r="CB31">
        <v>5.2359499999999996E-4</v>
      </c>
      <c r="CC31" s="1">
        <v>8.0799999999999999E-5</v>
      </c>
      <c r="CD31">
        <v>2.8999199999999998E-4</v>
      </c>
      <c r="CE31">
        <v>2.3266000000000001E-4</v>
      </c>
      <c r="CF31">
        <v>1.5205899999999999E-4</v>
      </c>
      <c r="CG31">
        <v>3.2898600000000002E-4</v>
      </c>
      <c r="CH31">
        <v>4.5646899999999998E-4</v>
      </c>
      <c r="CI31">
        <v>8.3350000000000004E-4</v>
      </c>
      <c r="CJ31">
        <v>1.7029499999999999E-4</v>
      </c>
      <c r="CK31">
        <v>1.08884E-4</v>
      </c>
      <c r="CL31">
        <v>1.5292800000000001E-4</v>
      </c>
      <c r="CM31">
        <v>1.10753E-4</v>
      </c>
      <c r="CN31" s="1">
        <v>8.1199999999999995E-5</v>
      </c>
      <c r="CO31">
        <v>5.0897400000000004E-4</v>
      </c>
      <c r="CP31">
        <v>1.5060799999999999E-4</v>
      </c>
      <c r="CQ31">
        <v>2.43441E-4</v>
      </c>
      <c r="CR31" s="1">
        <v>6.6099999999999994E-5</v>
      </c>
      <c r="CS31">
        <v>4.5444600000000001E-4</v>
      </c>
      <c r="CT31">
        <v>2.69542E-4</v>
      </c>
      <c r="CU31">
        <v>1.2115E-4</v>
      </c>
      <c r="CV31">
        <v>3.4002899999999999E-4</v>
      </c>
      <c r="CW31">
        <v>1.0754E-4</v>
      </c>
    </row>
    <row r="32" spans="1:101" x14ac:dyDescent="0.3">
      <c r="A32" t="s">
        <v>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1.51643E-4</v>
      </c>
      <c r="I32">
        <v>1.8154E-4</v>
      </c>
      <c r="J32">
        <v>0</v>
      </c>
      <c r="K32">
        <v>0</v>
      </c>
      <c r="L32">
        <v>0</v>
      </c>
      <c r="M32" s="1">
        <v>7.9200000000000001E-5</v>
      </c>
      <c r="N32">
        <v>0</v>
      </c>
      <c r="O32" s="1">
        <v>8.6600000000000004E-5</v>
      </c>
      <c r="P32">
        <v>0</v>
      </c>
      <c r="Q32">
        <v>0</v>
      </c>
      <c r="R32">
        <v>1.8918099999999999E-4</v>
      </c>
      <c r="S32">
        <v>0</v>
      </c>
      <c r="T32">
        <v>0</v>
      </c>
      <c r="U32">
        <v>0</v>
      </c>
      <c r="V32" s="1">
        <v>7.75E-5</v>
      </c>
      <c r="W32">
        <v>0</v>
      </c>
      <c r="X32">
        <v>1.9659000000000001E-4</v>
      </c>
      <c r="Y32" s="1">
        <v>7.3399999999999995E-5</v>
      </c>
      <c r="Z32">
        <v>0</v>
      </c>
      <c r="AA32">
        <v>0</v>
      </c>
      <c r="AB32">
        <v>0</v>
      </c>
      <c r="AC32" s="1">
        <v>9.8400000000000007E-5</v>
      </c>
      <c r="AD32">
        <v>0</v>
      </c>
      <c r="AE32">
        <v>0</v>
      </c>
      <c r="AF32">
        <v>0</v>
      </c>
      <c r="AG32">
        <v>0</v>
      </c>
      <c r="AH32">
        <v>4.9657200000000003E-4</v>
      </c>
      <c r="AI32">
        <v>0</v>
      </c>
      <c r="AJ32">
        <v>0</v>
      </c>
      <c r="AK32">
        <v>0</v>
      </c>
      <c r="AL32">
        <v>1.8406799999999999E-4</v>
      </c>
      <c r="AM32">
        <v>0</v>
      </c>
      <c r="AN32">
        <v>0</v>
      </c>
      <c r="AO32">
        <v>4.5163700000000001E-4</v>
      </c>
      <c r="AP32">
        <v>1.270345E-3</v>
      </c>
      <c r="AQ32">
        <v>1.0590529999999999E-3</v>
      </c>
      <c r="AR32">
        <v>1.114032E-3</v>
      </c>
      <c r="AS32">
        <v>9.3837800000000002E-4</v>
      </c>
      <c r="AT32">
        <v>4.1223799999999999E-4</v>
      </c>
      <c r="AU32">
        <v>1.0169700000000001E-3</v>
      </c>
      <c r="AV32">
        <v>1.0553649999999999E-3</v>
      </c>
      <c r="AW32">
        <v>1.1570600000000001E-4</v>
      </c>
      <c r="AX32">
        <v>0</v>
      </c>
      <c r="AY32">
        <v>7.4775299999999998E-4</v>
      </c>
      <c r="AZ32">
        <v>2.7684900000000002E-4</v>
      </c>
      <c r="BA32">
        <v>0</v>
      </c>
      <c r="BB32">
        <v>0</v>
      </c>
      <c r="BC32">
        <v>0</v>
      </c>
      <c r="BD32">
        <v>1.29438E-4</v>
      </c>
      <c r="BE32">
        <v>0</v>
      </c>
      <c r="BF32">
        <v>0</v>
      </c>
      <c r="BG32">
        <v>0</v>
      </c>
      <c r="BH32" s="1">
        <v>3.79E-5</v>
      </c>
      <c r="BI32" s="1">
        <v>6.3700000000000003E-5</v>
      </c>
      <c r="BJ32">
        <v>2.3044299999999999E-4</v>
      </c>
      <c r="BK32" s="1">
        <v>9.6100000000000005E-5</v>
      </c>
      <c r="BL32">
        <v>0</v>
      </c>
      <c r="BM32">
        <v>0</v>
      </c>
      <c r="BN32" s="1">
        <v>5.13E-5</v>
      </c>
      <c r="BO32">
        <v>0</v>
      </c>
      <c r="BP32">
        <v>0</v>
      </c>
      <c r="BQ32">
        <v>1.3884600000000001E-4</v>
      </c>
      <c r="BR32">
        <v>1.8806199999999999E-4</v>
      </c>
      <c r="BS32" s="1">
        <v>9.5400000000000001E-5</v>
      </c>
      <c r="BT32">
        <v>0</v>
      </c>
      <c r="BU32">
        <v>0</v>
      </c>
      <c r="BV32">
        <v>0</v>
      </c>
      <c r="BW32" s="1">
        <v>9.1299999999999997E-5</v>
      </c>
      <c r="BX32">
        <v>1.39166E-4</v>
      </c>
      <c r="BY32">
        <v>0</v>
      </c>
      <c r="BZ32">
        <v>0</v>
      </c>
      <c r="CA32">
        <v>0</v>
      </c>
      <c r="CB32">
        <v>0</v>
      </c>
      <c r="CC32">
        <v>1.0900000000000001E-4</v>
      </c>
      <c r="CD32">
        <v>5.1695899999999999E-4</v>
      </c>
      <c r="CE32">
        <v>5.1016400000000002E-4</v>
      </c>
      <c r="CF32">
        <v>7.4723400000000005E-4</v>
      </c>
      <c r="CG32">
        <v>2.7298600000000002E-4</v>
      </c>
      <c r="CH32">
        <v>5.5992200000000002E-4</v>
      </c>
      <c r="CI32">
        <v>6.0657099999999998E-4</v>
      </c>
      <c r="CJ32">
        <v>6.4612100000000004E-4</v>
      </c>
      <c r="CK32">
        <v>4.5211300000000003E-4</v>
      </c>
      <c r="CL32">
        <v>2.5766500000000002E-4</v>
      </c>
      <c r="CM32">
        <v>3.0167099999999999E-4</v>
      </c>
      <c r="CN32">
        <v>7.3191599999999999E-4</v>
      </c>
      <c r="CO32">
        <v>3.9726600000000001E-4</v>
      </c>
      <c r="CP32">
        <v>5.0379400000000001E-4</v>
      </c>
      <c r="CQ32">
        <v>5.5101100000000001E-4</v>
      </c>
      <c r="CR32">
        <v>6.9334900000000001E-4</v>
      </c>
      <c r="CS32">
        <v>8.94004E-4</v>
      </c>
      <c r="CT32">
        <v>7.69011E-4</v>
      </c>
      <c r="CU32">
        <v>1.193768E-3</v>
      </c>
      <c r="CV32">
        <v>3.3407E-4</v>
      </c>
      <c r="CW32">
        <v>6.7520700000000004E-4</v>
      </c>
    </row>
    <row r="33" spans="1:101" x14ac:dyDescent="0.3">
      <c r="A33" t="s">
        <v>56</v>
      </c>
      <c r="B33">
        <v>0</v>
      </c>
      <c r="C33" s="1">
        <v>1.13E-5</v>
      </c>
      <c r="D33">
        <v>0</v>
      </c>
      <c r="E33" s="1">
        <v>1.95E-5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s="1">
        <v>2.83E-5</v>
      </c>
      <c r="U33">
        <v>0</v>
      </c>
      <c r="V33" s="1">
        <v>1.33E-6</v>
      </c>
      <c r="W33" s="1">
        <v>4.1E-5</v>
      </c>
      <c r="X33" s="1">
        <v>1.22E-5</v>
      </c>
      <c r="Y33" s="1">
        <v>1.35E-6</v>
      </c>
      <c r="Z33" s="1">
        <v>6.63E-6</v>
      </c>
      <c r="AA33">
        <v>0</v>
      </c>
      <c r="AB33" s="1">
        <v>3.2399999999999999E-6</v>
      </c>
      <c r="AC33">
        <v>0</v>
      </c>
      <c r="AD33">
        <v>0</v>
      </c>
      <c r="AE33">
        <v>0</v>
      </c>
      <c r="AF33">
        <v>0</v>
      </c>
      <c r="AG33">
        <v>0</v>
      </c>
      <c r="AH33" s="1">
        <v>3.7599999999999999E-5</v>
      </c>
      <c r="AI33" s="1">
        <v>4.8600000000000002E-5</v>
      </c>
      <c r="AJ33">
        <v>1.20584E-4</v>
      </c>
      <c r="AK33" s="1">
        <v>1.91E-5</v>
      </c>
      <c r="AL33">
        <v>0</v>
      </c>
      <c r="AM33">
        <v>0</v>
      </c>
      <c r="AN33" s="1">
        <v>1.27E-5</v>
      </c>
      <c r="AO33" s="1">
        <v>1.2300000000000001E-5</v>
      </c>
      <c r="AP33">
        <v>0</v>
      </c>
      <c r="AQ33" s="1">
        <v>7.0699999999999997E-5</v>
      </c>
      <c r="AR33" s="1">
        <v>4.8199999999999999E-5</v>
      </c>
      <c r="AS33">
        <v>1.05481E-4</v>
      </c>
      <c r="AT33">
        <v>1.35096E-4</v>
      </c>
      <c r="AU33" s="1">
        <v>4.1600000000000002E-5</v>
      </c>
      <c r="AV33">
        <v>1.9865080000000001E-3</v>
      </c>
      <c r="AW33" s="1">
        <v>4.3399999999999998E-5</v>
      </c>
      <c r="AX33" s="1">
        <v>2.5599999999999999E-5</v>
      </c>
      <c r="AY33" s="1">
        <v>4.0500000000000002E-5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s="1">
        <v>2.39E-6</v>
      </c>
      <c r="BH33">
        <v>0</v>
      </c>
      <c r="BI33">
        <v>0</v>
      </c>
      <c r="BJ33">
        <v>0</v>
      </c>
      <c r="BK33">
        <v>0</v>
      </c>
      <c r="BL33">
        <v>0</v>
      </c>
      <c r="BM33" s="1">
        <v>1.3499999999999999E-5</v>
      </c>
      <c r="BN33">
        <v>0</v>
      </c>
      <c r="BO33" s="1">
        <v>8.7399999999999993E-6</v>
      </c>
      <c r="BP33" s="1">
        <v>6.6899999999999997E-7</v>
      </c>
      <c r="BQ33">
        <v>0</v>
      </c>
      <c r="BR33" s="1">
        <v>3.9899999999999999E-6</v>
      </c>
      <c r="BS33" s="1">
        <v>6.6499999999999999E-6</v>
      </c>
      <c r="BT33">
        <v>0</v>
      </c>
      <c r="BU33" s="1">
        <v>7.4800000000000004E-6</v>
      </c>
      <c r="BV33">
        <v>0</v>
      </c>
      <c r="BW33">
        <v>0</v>
      </c>
      <c r="BX33" s="1">
        <v>4.5600000000000004E-6</v>
      </c>
      <c r="BY33">
        <v>0</v>
      </c>
      <c r="BZ33">
        <v>0</v>
      </c>
      <c r="CA33" s="1">
        <v>1.52E-5</v>
      </c>
      <c r="CB33">
        <v>0</v>
      </c>
      <c r="CC33">
        <v>0</v>
      </c>
      <c r="CD33" s="1">
        <v>6.3500000000000002E-6</v>
      </c>
      <c r="CE33">
        <v>0</v>
      </c>
      <c r="CF33" s="1">
        <v>2.9699999999999999E-6</v>
      </c>
      <c r="CG33">
        <v>0</v>
      </c>
      <c r="CH33">
        <v>0</v>
      </c>
      <c r="CI33" s="1">
        <v>1.24E-5</v>
      </c>
      <c r="CJ33">
        <v>0</v>
      </c>
      <c r="CK33" s="1">
        <v>9.0599999999999997E-6</v>
      </c>
      <c r="CL33">
        <v>0</v>
      </c>
      <c r="CM33" s="1">
        <v>3.3699999999999999E-6</v>
      </c>
      <c r="CN33">
        <v>0</v>
      </c>
      <c r="CO33">
        <v>0</v>
      </c>
      <c r="CP33" s="1">
        <v>5.7899999999999996E-6</v>
      </c>
      <c r="CQ33">
        <v>0</v>
      </c>
      <c r="CR33" s="1">
        <v>4.1799999999999998E-6</v>
      </c>
      <c r="CS33" s="1">
        <v>1.0499999999999999E-5</v>
      </c>
      <c r="CT33" s="1">
        <v>1.03E-5</v>
      </c>
      <c r="CU33">
        <v>0</v>
      </c>
      <c r="CV33">
        <v>0</v>
      </c>
      <c r="CW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EA2F-E727-440F-9E44-B655B5F092EC}">
  <dimension ref="A1:P31"/>
  <sheetViews>
    <sheetView showGridLines="0" zoomScale="110" zoomScaleNormal="110" workbookViewId="0">
      <selection activeCell="L11" sqref="L11"/>
    </sheetView>
  </sheetViews>
  <sheetFormatPr baseColWidth="10" defaultColWidth="8.77734375" defaultRowHeight="13.8" x14ac:dyDescent="0.25"/>
  <cols>
    <col min="1" max="1" width="29.21875" style="11" bestFit="1" customWidth="1"/>
    <col min="2" max="2" width="12.77734375" style="11" customWidth="1"/>
    <col min="3" max="3" width="8.77734375" style="20" customWidth="1"/>
    <col min="4" max="4" width="18" style="20" customWidth="1"/>
    <col min="5" max="5" width="11.44140625" style="20" customWidth="1"/>
    <col min="6" max="6" width="6.88671875" style="20" customWidth="1"/>
    <col min="7" max="8" width="8.77734375" style="26"/>
    <col min="9" max="9" width="12.33203125" style="26" bestFit="1" customWidth="1"/>
    <col min="10" max="10" width="10.44140625" style="19" bestFit="1" customWidth="1"/>
    <col min="11" max="12" width="8.77734375" style="19"/>
    <col min="13" max="13" width="22.109375" style="11" customWidth="1"/>
    <col min="14" max="16384" width="8.77734375" style="11"/>
  </cols>
  <sheetData>
    <row r="1" spans="1:16" s="2" customFormat="1" ht="26.4" customHeight="1" x14ac:dyDescent="0.3">
      <c r="C1" s="29"/>
      <c r="D1" s="29"/>
      <c r="E1" s="29"/>
      <c r="F1" s="29"/>
      <c r="H1" s="3" t="s">
        <v>95</v>
      </c>
      <c r="I1" s="3"/>
      <c r="J1" s="3"/>
    </row>
    <row r="2" spans="1:16" s="7" customFormat="1" ht="30.6" x14ac:dyDescent="0.3">
      <c r="A2" s="4" t="s">
        <v>58</v>
      </c>
      <c r="B2" s="4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4" t="s">
        <v>64</v>
      </c>
      <c r="H2" s="4" t="s">
        <v>65</v>
      </c>
      <c r="I2" s="6" t="s">
        <v>66</v>
      </c>
      <c r="J2" s="6" t="s">
        <v>67</v>
      </c>
      <c r="L2" s="8"/>
      <c r="M2" s="8"/>
      <c r="N2" s="8"/>
      <c r="O2" s="8"/>
      <c r="P2" s="8"/>
    </row>
    <row r="3" spans="1:16" s="2" customFormat="1" x14ac:dyDescent="0.3">
      <c r="A3" s="9" t="s">
        <v>68</v>
      </c>
      <c r="B3" s="9"/>
      <c r="C3" s="9"/>
      <c r="D3" s="9"/>
      <c r="E3" s="9"/>
      <c r="F3" s="9"/>
      <c r="G3" s="9"/>
      <c r="H3" s="9"/>
      <c r="I3" s="9"/>
      <c r="J3" s="9"/>
      <c r="K3" s="10"/>
      <c r="L3" s="10"/>
      <c r="N3" s="10"/>
      <c r="O3" s="10"/>
      <c r="P3" s="10"/>
    </row>
    <row r="4" spans="1:16" ht="16.2" x14ac:dyDescent="0.25">
      <c r="A4" s="11" t="s">
        <v>42</v>
      </c>
      <c r="B4" s="24" t="s">
        <v>69</v>
      </c>
      <c r="C4" s="13">
        <v>12.725</v>
      </c>
      <c r="D4" s="13" t="s">
        <v>70</v>
      </c>
      <c r="E4" s="14">
        <v>100</v>
      </c>
      <c r="F4" s="14">
        <v>38</v>
      </c>
      <c r="G4" s="15">
        <f>VLOOKUP(A4,[1]SERRF_CVQC_DEPURADA!$A$1:$DF$38,110,FALSE)</f>
        <v>3.6105806407195589</v>
      </c>
      <c r="H4" s="16">
        <f>VLOOKUP(A4,[1]fold_change!$A$2:$B$30,2,FALSE)</f>
        <v>0.66569</v>
      </c>
      <c r="I4" s="17">
        <f>VLOOKUP(A4,'[1]plsda_vip hibrido'!$A$2:$B$32,2,FALSE)</f>
        <v>1.6235999999999999</v>
      </c>
      <c r="J4" s="18">
        <f>VLOOKUP(A4,[1]t_test!$A$2:$E$11,5,FALSE)</f>
        <v>3.0124999999999999E-2</v>
      </c>
    </row>
    <row r="5" spans="1:16" ht="16.2" x14ac:dyDescent="0.25">
      <c r="A5" s="11" t="s">
        <v>29</v>
      </c>
      <c r="B5" s="24" t="s">
        <v>69</v>
      </c>
      <c r="C5" s="13">
        <v>14.041</v>
      </c>
      <c r="D5" s="13" t="s">
        <v>96</v>
      </c>
      <c r="E5" s="20">
        <v>80</v>
      </c>
      <c r="F5" s="20">
        <v>38</v>
      </c>
      <c r="G5" s="15">
        <f>VLOOKUP(A5,[1]SERRF_CVQC_DEPURADA!$A$1:$DF$38,110,FALSE)</f>
        <v>1.5499871631928606</v>
      </c>
      <c r="H5" s="16">
        <f>VLOOKUP(A5,[1]fold_change!$A$2:$B$30,2,FALSE)</f>
        <v>1.0276000000000001</v>
      </c>
      <c r="I5" s="17" t="s">
        <v>75</v>
      </c>
      <c r="J5" s="21" t="s">
        <v>76</v>
      </c>
    </row>
    <row r="6" spans="1:16" ht="16.2" x14ac:dyDescent="0.25">
      <c r="A6" s="11" t="s">
        <v>37</v>
      </c>
      <c r="B6" s="24" t="s">
        <v>71</v>
      </c>
      <c r="C6" s="13">
        <v>13.843999999999999</v>
      </c>
      <c r="D6" s="13" t="s">
        <v>72</v>
      </c>
      <c r="E6" s="20">
        <v>100</v>
      </c>
      <c r="F6" s="20">
        <v>14</v>
      </c>
      <c r="G6" s="15">
        <f>VLOOKUP(A6,[1]SERRF_CVQC_DEPURADA!$A$1:$DF$38,110,FALSE)</f>
        <v>2.6729091421383058</v>
      </c>
      <c r="H6" s="16">
        <f>VLOOKUP(A6,[1]fold_change!$A$2:$B$30,2,FALSE)</f>
        <v>0.54200999999999999</v>
      </c>
      <c r="I6" s="17" t="s">
        <v>75</v>
      </c>
      <c r="J6" s="18">
        <f>VLOOKUP(A6,[1]t_test!$A$2:$E$11,5,FALSE)</f>
        <v>3.0585000000000001E-2</v>
      </c>
    </row>
    <row r="7" spans="1:16" ht="16.2" x14ac:dyDescent="0.25">
      <c r="A7" s="11" t="s">
        <v>26</v>
      </c>
      <c r="B7" s="24" t="s">
        <v>97</v>
      </c>
      <c r="C7" s="13">
        <v>9.625</v>
      </c>
      <c r="D7" s="13" t="s">
        <v>98</v>
      </c>
      <c r="E7" s="20">
        <v>80</v>
      </c>
      <c r="F7" s="20">
        <v>10</v>
      </c>
      <c r="G7" s="15">
        <f>VLOOKUP(A7,[1]SERRF_CVQC_DEPURADA!$A$1:$DF$38,110,FALSE)</f>
        <v>1.0985355912427721</v>
      </c>
      <c r="H7" s="16">
        <f>VLOOKUP(A7,[1]fold_change!$A$2:$B$30,2,FALSE)</f>
        <v>1.1306</v>
      </c>
      <c r="I7" s="17" t="s">
        <v>75</v>
      </c>
      <c r="J7" s="21" t="s">
        <v>76</v>
      </c>
    </row>
    <row r="8" spans="1:16" ht="16.2" x14ac:dyDescent="0.25">
      <c r="A8" s="11" t="s">
        <v>36</v>
      </c>
      <c r="B8" s="12" t="s">
        <v>73</v>
      </c>
      <c r="C8" s="13">
        <v>10.27</v>
      </c>
      <c r="D8" s="13" t="s">
        <v>74</v>
      </c>
      <c r="E8" s="20">
        <v>100</v>
      </c>
      <c r="F8" s="20">
        <v>26</v>
      </c>
      <c r="G8" s="15">
        <f>VLOOKUP(A8,[1]SERRF_CVQC_DEPURADA!$A$1:$DF$38,110,FALSE)</f>
        <v>2.5731079616915631</v>
      </c>
      <c r="H8" s="16">
        <f>VLOOKUP(A8,[1]fold_change!$A$2:$B$30,2,FALSE)</f>
        <v>0.91768000000000005</v>
      </c>
      <c r="I8" s="17">
        <f>VLOOKUP(A8,'[1]plsda_vip hibrido'!$A$2:$B$32,2,FALSE)</f>
        <v>1.0239</v>
      </c>
      <c r="J8" s="21" t="s">
        <v>76</v>
      </c>
      <c r="L8" s="22"/>
    </row>
    <row r="9" spans="1:16" ht="16.2" x14ac:dyDescent="0.25">
      <c r="A9" s="11" t="s">
        <v>30</v>
      </c>
      <c r="B9" s="12" t="s">
        <v>77</v>
      </c>
      <c r="C9" s="13">
        <v>10.27</v>
      </c>
      <c r="D9" s="13" t="s">
        <v>78</v>
      </c>
      <c r="E9" s="20">
        <v>100</v>
      </c>
      <c r="F9" s="20">
        <v>30</v>
      </c>
      <c r="G9" s="15">
        <f>VLOOKUP(A9,[1]SERRF_CVQC_DEPURADA!$A$1:$DF$38,110,FALSE)</f>
        <v>1.8992992366947552</v>
      </c>
      <c r="H9" s="16">
        <f>VLOOKUP(A9,[1]fold_change!$A$2:$B$30,2,FALSE)</f>
        <v>0.90114000000000005</v>
      </c>
      <c r="I9" s="17">
        <f>VLOOKUP(A9,'[1]plsda_vip hibrido'!$A$2:$B$32,2,FALSE)</f>
        <v>1.0236000000000001</v>
      </c>
      <c r="J9" s="21" t="s">
        <v>76</v>
      </c>
      <c r="L9" s="22"/>
    </row>
    <row r="10" spans="1:16" x14ac:dyDescent="0.25">
      <c r="A10" s="9" t="s">
        <v>81</v>
      </c>
      <c r="B10" s="9"/>
      <c r="C10" s="9"/>
      <c r="D10" s="9"/>
      <c r="E10" s="9"/>
      <c r="F10" s="9"/>
      <c r="G10" s="9"/>
      <c r="H10" s="9"/>
      <c r="I10" s="9"/>
      <c r="J10" s="9"/>
    </row>
    <row r="11" spans="1:16" ht="16.2" x14ac:dyDescent="0.25">
      <c r="A11" s="23" t="s">
        <v>40</v>
      </c>
      <c r="B11" s="24" t="s">
        <v>82</v>
      </c>
      <c r="C11" s="13">
        <v>9.2140000000000004</v>
      </c>
      <c r="D11" s="13" t="s">
        <v>83</v>
      </c>
      <c r="E11" s="20">
        <v>100</v>
      </c>
      <c r="F11" s="20">
        <v>10</v>
      </c>
      <c r="G11" s="15">
        <f>VLOOKUP(A11,[1]SERRF_CVQC_DEPURADA!$A$1:$DF$38,110,FALSE)</f>
        <v>2.83018218930148</v>
      </c>
      <c r="H11" s="16">
        <f>VLOOKUP(A11,[1]fold_change!$A$2:$B$30,2,FALSE)</f>
        <v>0.85011999999999999</v>
      </c>
      <c r="I11" s="16">
        <f>VLOOKUP(A11,'[1]plsda_vip hibrido'!$A$2:$B$32,2,FALSE)</f>
        <v>1.3911</v>
      </c>
      <c r="J11" s="21" t="s">
        <v>76</v>
      </c>
    </row>
    <row r="12" spans="1:16" ht="16.2" x14ac:dyDescent="0.25">
      <c r="A12" s="27" t="s">
        <v>52</v>
      </c>
      <c r="B12" s="24" t="s">
        <v>92</v>
      </c>
      <c r="C12" s="13">
        <v>7.1710000000000003</v>
      </c>
      <c r="D12" s="13" t="s">
        <v>99</v>
      </c>
      <c r="E12" s="14">
        <v>100</v>
      </c>
      <c r="F12" s="14">
        <v>20</v>
      </c>
      <c r="G12" s="15">
        <f>VLOOKUP(A12,[1]SERRF_CVQC_DEPURADA!$A$1:$DF$38,110,FALSE)</f>
        <v>5.478171469768407</v>
      </c>
      <c r="H12" s="16">
        <f>VLOOKUP(A12,[1]fold_change!$A$2:$B$30,2,FALSE)</f>
        <v>14.988</v>
      </c>
      <c r="I12" s="16" t="s">
        <v>75</v>
      </c>
      <c r="J12" s="21" t="s">
        <v>76</v>
      </c>
    </row>
    <row r="13" spans="1:16" s="19" customFormat="1" ht="16.2" x14ac:dyDescent="0.25">
      <c r="A13" s="11" t="s">
        <v>35</v>
      </c>
      <c r="B13" s="24" t="s">
        <v>84</v>
      </c>
      <c r="C13" s="13">
        <v>7.14</v>
      </c>
      <c r="D13" s="13" t="s">
        <v>85</v>
      </c>
      <c r="E13" s="14">
        <v>100</v>
      </c>
      <c r="F13" s="14">
        <v>10</v>
      </c>
      <c r="G13" s="15">
        <f>VLOOKUP(A13,[1]SERRF_CVQC_DEPURADA!$A$1:$DF$38,110,FALSE)</f>
        <v>2.4410749623595391</v>
      </c>
      <c r="H13" s="16">
        <f>VLOOKUP(A13,[1]fold_change!$A$2:$B$30,2,FALSE)</f>
        <v>1.5322</v>
      </c>
      <c r="I13" s="16" t="s">
        <v>75</v>
      </c>
      <c r="J13" s="21" t="s">
        <v>76</v>
      </c>
      <c r="N13" s="11"/>
      <c r="O13" s="11"/>
      <c r="P13" s="11"/>
    </row>
    <row r="14" spans="1:16" s="19" customFormat="1" ht="16.2" x14ac:dyDescent="0.25">
      <c r="A14" s="11" t="s">
        <v>47</v>
      </c>
      <c r="B14" s="24" t="s">
        <v>86</v>
      </c>
      <c r="C14" s="13">
        <v>6.8319999999999999</v>
      </c>
      <c r="D14" s="13" t="s">
        <v>87</v>
      </c>
      <c r="E14" s="14">
        <v>100</v>
      </c>
      <c r="F14" s="14">
        <v>20</v>
      </c>
      <c r="G14" s="15">
        <f>VLOOKUP(A14,[1]SERRF_CVQC_DEPURADA!$A$1:$DF$38,110,FALSE)</f>
        <v>4.5169072888102786</v>
      </c>
      <c r="H14" s="16">
        <f>VLOOKUP(A14,[1]fold_change!$A$2:$B$30,2,FALSE)</f>
        <v>3.0918999999999999</v>
      </c>
      <c r="I14" s="16">
        <f>VLOOKUP(A14,'[1]plsda_vip hibrido'!$A$2:$B$32,2,FALSE)</f>
        <v>1.6611</v>
      </c>
      <c r="J14" s="18">
        <f>VLOOKUP(A14,[1]t_test!$A$2:$E$11,5,FALSE)</f>
        <v>1.1723E-6</v>
      </c>
      <c r="N14" s="11"/>
      <c r="O14" s="11"/>
      <c r="P14" s="11"/>
    </row>
    <row r="15" spans="1:16" s="19" customFormat="1" ht="16.2" x14ac:dyDescent="0.25">
      <c r="A15" s="11" t="s">
        <v>38</v>
      </c>
      <c r="B15" s="24" t="s">
        <v>88</v>
      </c>
      <c r="C15" s="13">
        <v>8.5860000000000003</v>
      </c>
      <c r="D15" s="13" t="s">
        <v>89</v>
      </c>
      <c r="E15" s="14">
        <v>100</v>
      </c>
      <c r="F15" s="14">
        <v>20</v>
      </c>
      <c r="G15" s="15">
        <f>VLOOKUP(A15,[1]SERRF_CVQC_DEPURADA!$A$1:$DF$38,110,FALSE)</f>
        <v>2.7166607598968828</v>
      </c>
      <c r="H15" s="16">
        <f>VLOOKUP(A15,[1]fold_change!$A$2:$B$30,2,FALSE)</f>
        <v>2.7275</v>
      </c>
      <c r="I15" s="16">
        <f>VLOOKUP(A15,'[1]plsda_vip hibrido'!$A$2:$B$32,2,FALSE)</f>
        <v>1.5428999999999999</v>
      </c>
      <c r="J15" s="18">
        <f>VLOOKUP(A15,[1]t_test!$A$2:$E$11,5,FALSE)</f>
        <v>6.9005999999999996E-6</v>
      </c>
      <c r="N15" s="11"/>
      <c r="O15" s="11"/>
      <c r="P15" s="11"/>
    </row>
    <row r="16" spans="1:16" s="19" customFormat="1" ht="16.2" x14ac:dyDescent="0.25">
      <c r="A16" s="27" t="s">
        <v>34</v>
      </c>
      <c r="B16" s="24" t="s">
        <v>92</v>
      </c>
      <c r="C16" s="13">
        <v>4.7089999999999996</v>
      </c>
      <c r="D16" s="13" t="s">
        <v>93</v>
      </c>
      <c r="E16" s="14">
        <v>100</v>
      </c>
      <c r="F16" s="14">
        <v>10</v>
      </c>
      <c r="G16" s="15">
        <f>VLOOKUP(A16,[1]SERRF_CVQC_DEPURADA!$A$1:$DF$38,110,FALSE)</f>
        <v>2.1179866054645013</v>
      </c>
      <c r="H16" s="16">
        <f>VLOOKUP(A16,[1]fold_change!$A$2:$B$30,2,FALSE)</f>
        <v>0.59816000000000003</v>
      </c>
      <c r="I16" s="16">
        <f>VLOOKUP(A16,'[1]plsda_vip hibrido'!$A$2:$B$32,2,FALSE)</f>
        <v>1.6869000000000001</v>
      </c>
      <c r="J16" s="18">
        <f>VLOOKUP(Hybrid!A16,'[1]t_test hibrido'!$A$2:$E$22,5,FALSE)</f>
        <v>2.8990999999999998E-10</v>
      </c>
      <c r="N16" s="11"/>
      <c r="O16" s="11"/>
      <c r="P16" s="11"/>
    </row>
    <row r="17" spans="1:16" s="19" customFormat="1" ht="44.55" customHeight="1" x14ac:dyDescent="0.25">
      <c r="A17" s="28" t="s">
        <v>100</v>
      </c>
      <c r="B17" s="28"/>
      <c r="C17" s="28"/>
      <c r="D17" s="28"/>
      <c r="E17" s="28"/>
      <c r="F17" s="28"/>
      <c r="G17" s="28"/>
      <c r="H17" s="28"/>
      <c r="I17" s="28"/>
      <c r="J17" s="28"/>
      <c r="N17" s="11"/>
      <c r="O17" s="11"/>
      <c r="P17" s="11"/>
    </row>
    <row r="24" spans="1:16" x14ac:dyDescent="0.25">
      <c r="A24" s="23"/>
    </row>
    <row r="25" spans="1:16" x14ac:dyDescent="0.25">
      <c r="A25" s="23"/>
    </row>
    <row r="26" spans="1:16" x14ac:dyDescent="0.25">
      <c r="A26" s="27"/>
    </row>
    <row r="31" spans="1:16" x14ac:dyDescent="0.25">
      <c r="A31" s="27"/>
    </row>
  </sheetData>
  <mergeCells count="4">
    <mergeCell ref="H1:J1"/>
    <mergeCell ref="A3:J3"/>
    <mergeCell ref="A10:J10"/>
    <mergeCell ref="A17:J17"/>
  </mergeCells>
  <conditionalFormatting sqref="A2">
    <cfRule type="duplicateValues" dxfId="8" priority="8"/>
  </conditionalFormatting>
  <conditionalFormatting sqref="A17">
    <cfRule type="duplicateValues" dxfId="7" priority="5"/>
  </conditionalFormatting>
  <conditionalFormatting sqref="A19:A62">
    <cfRule type="duplicateValues" dxfId="6" priority="1"/>
  </conditionalFormatting>
  <conditionalFormatting sqref="A32:A61 A18">
    <cfRule type="duplicateValues" dxfId="5" priority="2"/>
  </conditionalFormatting>
  <conditionalFormatting sqref="A3:B3">
    <cfRule type="duplicateValues" dxfId="4" priority="9"/>
  </conditionalFormatting>
  <conditionalFormatting sqref="A10:B10">
    <cfRule type="duplicateValues" dxfId="3" priority="7"/>
  </conditionalFormatting>
  <conditionalFormatting sqref="H1 J2">
    <cfRule type="cellIs" dxfId="2" priority="6" operator="between">
      <formula>0</formula>
      <formula>0.999</formula>
    </cfRule>
  </conditionalFormatting>
  <conditionalFormatting sqref="H4:H9 H11:H16">
    <cfRule type="cellIs" dxfId="1" priority="3" operator="between">
      <formula>0</formula>
      <formula>0.999</formula>
    </cfRule>
    <cfRule type="cellIs" dxfId="0" priority="4" operator="greaterThan">
      <formula>1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A_fistulosum</vt:lpstr>
      <vt:lpstr>Metaboanalalyst</vt:lpstr>
      <vt:lpstr>Hybrid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Castaño</dc:creator>
  <cp:lastModifiedBy>Leslie Castaño</cp:lastModifiedBy>
  <dcterms:created xsi:type="dcterms:W3CDTF">2026-09-14T12:44:55Z</dcterms:created>
  <dcterms:modified xsi:type="dcterms:W3CDTF">2026-09-14T12:47:56Z</dcterms:modified>
</cp:coreProperties>
</file>